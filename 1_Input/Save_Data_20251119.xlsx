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.CHUANG\Desktop\Programming project\9_Fan System\1_Input\"/>
    </mc:Choice>
  </mc:AlternateContent>
  <xr:revisionPtr revIDLastSave="0" documentId="13_ncr:1_{9AC40AA3-1B6C-4358-A1CA-678FBF8C49C6}" xr6:coauthVersionLast="47" xr6:coauthVersionMax="47" xr10:uidLastSave="{00000000-0000-0000-0000-000000000000}"/>
  <bookViews>
    <workbookView xWindow="-108" yWindow="-108" windowWidth="23256" windowHeight="13896" xr2:uid="{979E5DA7-38E7-4466-9366-DBC429F4354F}"/>
  </bookViews>
  <sheets>
    <sheet name="all_category_5point_data" sheetId="3" r:id="rId1"/>
    <sheet name="A8020" sheetId="1" r:id="rId2"/>
    <sheet name="A8020(原始)" sheetId="2" r:id="rId3"/>
  </sheets>
  <definedNames>
    <definedName name="_xlnm._FilterDatabase" localSheetId="1" hidden="1">'A8020'!$A$2:$V$2</definedName>
    <definedName name="_xlnm._FilterDatabase" localSheetId="2" hidden="1">'A8020(原始)'!$A$2:$V$2</definedName>
    <definedName name="_xlnm._FilterDatabase" localSheetId="0" hidden="1">all_category_5point_data!$A$3:$AH$191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71" i="3" l="1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71" i="3"/>
  <c r="L72" i="3"/>
  <c r="L73" i="3"/>
  <c r="L74" i="3"/>
  <c r="L75" i="3"/>
  <c r="L69" i="3"/>
  <c r="L70" i="3"/>
  <c r="AJ40" i="2"/>
  <c r="AN40" i="2" s="1"/>
  <c r="AR40" i="2" s="1"/>
  <c r="AF40" i="2"/>
  <c r="AC40" i="2"/>
  <c r="AG40" i="2" s="1"/>
  <c r="AK40" i="2" s="1"/>
  <c r="AO40" i="2" s="1"/>
  <c r="AS40" i="2" s="1"/>
  <c r="AB40" i="2"/>
  <c r="AK39" i="2"/>
  <c r="AO39" i="2" s="1"/>
  <c r="AS39" i="2" s="1"/>
  <c r="AG39" i="2"/>
  <c r="AC39" i="2"/>
  <c r="AB39" i="2"/>
  <c r="AF39" i="2" s="1"/>
  <c r="AJ39" i="2" s="1"/>
  <c r="AN39" i="2" s="1"/>
  <c r="AR39" i="2" s="1"/>
  <c r="AC38" i="2"/>
  <c r="AG38" i="2" s="1"/>
  <c r="AK38" i="2" s="1"/>
  <c r="AO38" i="2" s="1"/>
  <c r="AS38" i="2" s="1"/>
  <c r="AB38" i="2"/>
  <c r="AF38" i="2" s="1"/>
  <c r="AJ38" i="2" s="1"/>
  <c r="AN38" i="2" s="1"/>
  <c r="AR38" i="2" s="1"/>
  <c r="AG37" i="2"/>
  <c r="AK37" i="2" s="1"/>
  <c r="AO37" i="2" s="1"/>
  <c r="AS37" i="2" s="1"/>
  <c r="AF37" i="2"/>
  <c r="AJ37" i="2" s="1"/>
  <c r="AN37" i="2" s="1"/>
  <c r="AR37" i="2" s="1"/>
  <c r="AC37" i="2"/>
  <c r="AB37" i="2"/>
  <c r="AG36" i="2"/>
  <c r="AK36" i="2" s="1"/>
  <c r="AO36" i="2" s="1"/>
  <c r="AS36" i="2" s="1"/>
  <c r="AF36" i="2"/>
  <c r="AJ36" i="2" s="1"/>
  <c r="AN36" i="2" s="1"/>
  <c r="AR36" i="2" s="1"/>
  <c r="AC36" i="2"/>
  <c r="AB36" i="2"/>
  <c r="AG32" i="2"/>
  <c r="AK32" i="2" s="1"/>
  <c r="AO32" i="2" s="1"/>
  <c r="AS32" i="2" s="1"/>
  <c r="AC32" i="2"/>
  <c r="AB32" i="2"/>
  <c r="AF32" i="2" s="1"/>
  <c r="AJ32" i="2" s="1"/>
  <c r="AN32" i="2" s="1"/>
  <c r="AR32" i="2" s="1"/>
  <c r="AC31" i="2"/>
  <c r="AG31" i="2" s="1"/>
  <c r="AK31" i="2" s="1"/>
  <c r="AO31" i="2" s="1"/>
  <c r="AS31" i="2" s="1"/>
  <c r="AB31" i="2"/>
  <c r="AF31" i="2" s="1"/>
  <c r="AJ31" i="2" s="1"/>
  <c r="AN31" i="2" s="1"/>
  <c r="AR31" i="2" s="1"/>
  <c r="AC30" i="2"/>
  <c r="AG30" i="2" s="1"/>
  <c r="AK30" i="2" s="1"/>
  <c r="AO30" i="2" s="1"/>
  <c r="AS30" i="2" s="1"/>
  <c r="AB30" i="2"/>
  <c r="AF30" i="2" s="1"/>
  <c r="AJ30" i="2" s="1"/>
  <c r="AN30" i="2" s="1"/>
  <c r="AR30" i="2" s="1"/>
  <c r="AJ29" i="2"/>
  <c r="AN29" i="2" s="1"/>
  <c r="AR29" i="2" s="1"/>
  <c r="AF29" i="2"/>
  <c r="AC29" i="2"/>
  <c r="AG29" i="2" s="1"/>
  <c r="AK29" i="2" s="1"/>
  <c r="AO29" i="2" s="1"/>
  <c r="AS29" i="2" s="1"/>
  <c r="AB29" i="2"/>
  <c r="AK28" i="2"/>
  <c r="AO28" i="2" s="1"/>
  <c r="AS28" i="2" s="1"/>
  <c r="AG28" i="2"/>
  <c r="AC28" i="2"/>
  <c r="AB28" i="2"/>
  <c r="AF28" i="2" s="1"/>
  <c r="AJ28" i="2" s="1"/>
  <c r="AN28" i="2" s="1"/>
  <c r="AR28" i="2" s="1"/>
  <c r="AC24" i="2"/>
  <c r="AG24" i="2" s="1"/>
  <c r="AK24" i="2" s="1"/>
  <c r="AO24" i="2" s="1"/>
  <c r="AS24" i="2" s="1"/>
  <c r="AB24" i="2"/>
  <c r="AF24" i="2" s="1"/>
  <c r="AJ24" i="2" s="1"/>
  <c r="AN24" i="2" s="1"/>
  <c r="AR24" i="2" s="1"/>
  <c r="AG23" i="2"/>
  <c r="AK23" i="2" s="1"/>
  <c r="AO23" i="2" s="1"/>
  <c r="AS23" i="2" s="1"/>
  <c r="AF23" i="2"/>
  <c r="AJ23" i="2" s="1"/>
  <c r="AN23" i="2" s="1"/>
  <c r="AR23" i="2" s="1"/>
  <c r="AC23" i="2"/>
  <c r="AB23" i="2"/>
  <c r="AG22" i="2"/>
  <c r="AK22" i="2" s="1"/>
  <c r="AO22" i="2" s="1"/>
  <c r="AS22" i="2" s="1"/>
  <c r="AF22" i="2"/>
  <c r="AJ22" i="2" s="1"/>
  <c r="AN22" i="2" s="1"/>
  <c r="AR22" i="2" s="1"/>
  <c r="AC22" i="2"/>
  <c r="AB22" i="2"/>
  <c r="AC21" i="2"/>
  <c r="AG21" i="2" s="1"/>
  <c r="AK21" i="2" s="1"/>
  <c r="AO21" i="2" s="1"/>
  <c r="AS21" i="2" s="1"/>
  <c r="AB21" i="2"/>
  <c r="AF21" i="2" s="1"/>
  <c r="AJ21" i="2" s="1"/>
  <c r="AN21" i="2" s="1"/>
  <c r="AR21" i="2" s="1"/>
  <c r="AC20" i="2"/>
  <c r="AG20" i="2" s="1"/>
  <c r="AK20" i="2" s="1"/>
  <c r="AO20" i="2" s="1"/>
  <c r="AS20" i="2" s="1"/>
  <c r="AB20" i="2"/>
  <c r="AF20" i="2" s="1"/>
  <c r="AJ20" i="2" s="1"/>
  <c r="AN20" i="2" s="1"/>
  <c r="AR20" i="2" s="1"/>
  <c r="AC16" i="2"/>
  <c r="AG16" i="2" s="1"/>
  <c r="AK16" i="2" s="1"/>
  <c r="AO16" i="2" s="1"/>
  <c r="AS16" i="2" s="1"/>
  <c r="AB16" i="2"/>
  <c r="AF16" i="2" s="1"/>
  <c r="AJ16" i="2" s="1"/>
  <c r="AN16" i="2" s="1"/>
  <c r="AR16" i="2" s="1"/>
  <c r="AJ15" i="2"/>
  <c r="AN15" i="2" s="1"/>
  <c r="AR15" i="2" s="1"/>
  <c r="AF15" i="2"/>
  <c r="AC15" i="2"/>
  <c r="AG15" i="2" s="1"/>
  <c r="AK15" i="2" s="1"/>
  <c r="AO15" i="2" s="1"/>
  <c r="AS15" i="2" s="1"/>
  <c r="AB15" i="2"/>
  <c r="AK14" i="2"/>
  <c r="AO14" i="2" s="1"/>
  <c r="AS14" i="2" s="1"/>
  <c r="AG14" i="2"/>
  <c r="AC14" i="2"/>
  <c r="AB14" i="2"/>
  <c r="AF14" i="2" s="1"/>
  <c r="AJ14" i="2" s="1"/>
  <c r="AN14" i="2" s="1"/>
  <c r="AR14" i="2" s="1"/>
  <c r="AC13" i="2"/>
  <c r="AG13" i="2" s="1"/>
  <c r="AK13" i="2" s="1"/>
  <c r="AO13" i="2" s="1"/>
  <c r="AS13" i="2" s="1"/>
  <c r="AB13" i="2"/>
  <c r="AF13" i="2" s="1"/>
  <c r="AJ13" i="2" s="1"/>
  <c r="AN13" i="2" s="1"/>
  <c r="AR13" i="2" s="1"/>
  <c r="AG12" i="2"/>
  <c r="AK12" i="2" s="1"/>
  <c r="AO12" i="2" s="1"/>
  <c r="AS12" i="2" s="1"/>
  <c r="AF12" i="2"/>
  <c r="AJ12" i="2" s="1"/>
  <c r="AN12" i="2" s="1"/>
  <c r="AR12" i="2" s="1"/>
  <c r="AC12" i="2"/>
  <c r="AB12" i="2"/>
  <c r="AG8" i="2"/>
  <c r="AK8" i="2" s="1"/>
  <c r="AO8" i="2" s="1"/>
  <c r="AS8" i="2" s="1"/>
  <c r="AF8" i="2"/>
  <c r="AJ8" i="2" s="1"/>
  <c r="AN8" i="2" s="1"/>
  <c r="AR8" i="2" s="1"/>
  <c r="AC8" i="2"/>
  <c r="AB8" i="2"/>
  <c r="AC7" i="2"/>
  <c r="AG7" i="2" s="1"/>
  <c r="AK7" i="2" s="1"/>
  <c r="AO7" i="2" s="1"/>
  <c r="AS7" i="2" s="1"/>
  <c r="AB7" i="2"/>
  <c r="AF7" i="2" s="1"/>
  <c r="AJ7" i="2" s="1"/>
  <c r="AN7" i="2" s="1"/>
  <c r="AR7" i="2" s="1"/>
  <c r="AC6" i="2"/>
  <c r="AG6" i="2" s="1"/>
  <c r="AK6" i="2" s="1"/>
  <c r="AO6" i="2" s="1"/>
  <c r="AS6" i="2" s="1"/>
  <c r="AB6" i="2"/>
  <c r="AF6" i="2" s="1"/>
  <c r="AJ6" i="2" s="1"/>
  <c r="AN6" i="2" s="1"/>
  <c r="AR6" i="2" s="1"/>
  <c r="AC5" i="2"/>
  <c r="AG5" i="2" s="1"/>
  <c r="AK5" i="2" s="1"/>
  <c r="AO5" i="2" s="1"/>
  <c r="AS5" i="2" s="1"/>
  <c r="AB5" i="2"/>
  <c r="AF5" i="2" s="1"/>
  <c r="AJ5" i="2" s="1"/>
  <c r="AN5" i="2" s="1"/>
  <c r="AR5" i="2" s="1"/>
  <c r="AJ4" i="2"/>
  <c r="AN4" i="2" s="1"/>
  <c r="AR4" i="2" s="1"/>
  <c r="AF4" i="2"/>
  <c r="AC4" i="2"/>
  <c r="AG4" i="2" s="1"/>
  <c r="AK4" i="2" s="1"/>
  <c r="AO4" i="2" s="1"/>
  <c r="AS4" i="2" s="1"/>
  <c r="AB4" i="2"/>
</calcChain>
</file>

<file path=xl/sharedStrings.xml><?xml version="1.0" encoding="utf-8"?>
<sst xmlns="http://schemas.openxmlformats.org/spreadsheetml/2006/main" count="454" uniqueCount="215">
  <si>
    <t>TYPE</t>
    <phoneticPr fontId="1" type="noConversion"/>
  </si>
  <si>
    <t>OD</t>
    <phoneticPr fontId="2" type="noConversion"/>
  </si>
  <si>
    <t>ID</t>
    <phoneticPr fontId="2" type="noConversion"/>
  </si>
  <si>
    <t>FRAME</t>
    <phoneticPr fontId="2" type="noConversion"/>
  </si>
  <si>
    <t>HUB</t>
    <phoneticPr fontId="2" type="noConversion"/>
  </si>
  <si>
    <t>NUM</t>
    <phoneticPr fontId="2" type="noConversion"/>
  </si>
  <si>
    <t>GAP</t>
    <phoneticPr fontId="2" type="noConversion"/>
  </si>
  <si>
    <t>RPM</t>
    <phoneticPr fontId="2" type="noConversion"/>
  </si>
  <si>
    <t>AOI</t>
    <phoneticPr fontId="2" type="noConversion"/>
  </si>
  <si>
    <t>LEN</t>
    <phoneticPr fontId="2" type="noConversion"/>
  </si>
  <si>
    <t>LO</t>
    <phoneticPr fontId="1" type="noConversion"/>
  </si>
  <si>
    <t>TH</t>
    <phoneticPr fontId="2" type="noConversion"/>
  </si>
  <si>
    <t>TTH</t>
    <phoneticPr fontId="2" type="noConversion"/>
  </si>
  <si>
    <t>CAM</t>
    <phoneticPr fontId="2" type="noConversion"/>
  </si>
  <si>
    <t>CAM</t>
    <phoneticPr fontId="1" type="noConversion"/>
  </si>
  <si>
    <t>PO</t>
    <phoneticPr fontId="1" type="noConversion"/>
  </si>
  <si>
    <t>F</t>
    <phoneticPr fontId="2" type="noConversion"/>
  </si>
  <si>
    <t>S</t>
    <phoneticPr fontId="2" type="noConversion"/>
  </si>
  <si>
    <t>OuterDiameter</t>
  </si>
  <si>
    <t>InnerDiameter</t>
  </si>
  <si>
    <t>FrameHeight</t>
  </si>
  <si>
    <t>HubHeight</t>
  </si>
  <si>
    <t>BladeNumber</t>
  </si>
  <si>
    <t>ClearenceGap</t>
  </si>
  <si>
    <t>RootAngleInsidence</t>
  </si>
  <si>
    <t>TipAngleInsidence</t>
  </si>
  <si>
    <t>RootChordLength</t>
  </si>
  <si>
    <t>TipChordLength</t>
  </si>
  <si>
    <t>RootLeadEdgeOffset</t>
  </si>
  <si>
    <t>TipLeadEdgeOffset</t>
    <phoneticPr fontId="1" type="noConversion"/>
  </si>
  <si>
    <t>MaxThickness</t>
    <phoneticPr fontId="1" type="noConversion"/>
  </si>
  <si>
    <t>TrailThickness</t>
    <phoneticPr fontId="1" type="noConversion"/>
  </si>
  <si>
    <t>RootCamberPosition</t>
    <phoneticPr fontId="1" type="noConversion"/>
  </si>
  <si>
    <t>TipCamberPosition</t>
    <phoneticPr fontId="1" type="noConversion"/>
  </si>
  <si>
    <t>ForwardAngle</t>
    <phoneticPr fontId="1" type="noConversion"/>
  </si>
  <si>
    <t>BladeSharpness</t>
    <phoneticPr fontId="1" type="noConversion"/>
  </si>
  <si>
    <t>A8020 NEW 4500</t>
    <phoneticPr fontId="1" type="noConversion"/>
  </si>
  <si>
    <t>A8020 NEW</t>
    <phoneticPr fontId="1" type="noConversion"/>
  </si>
  <si>
    <t>A8020 NEW 4000</t>
    <phoneticPr fontId="1" type="noConversion"/>
  </si>
  <si>
    <t>A8020 NEW 3500</t>
    <phoneticPr fontId="1" type="noConversion"/>
  </si>
  <si>
    <t>A8020 NEW 3000</t>
    <phoneticPr fontId="1" type="noConversion"/>
  </si>
  <si>
    <t>A8020 NEW 2500</t>
    <phoneticPr fontId="1" type="noConversion"/>
  </si>
  <si>
    <t>A8020 NEW 2000</t>
    <phoneticPr fontId="1" type="noConversion"/>
  </si>
  <si>
    <t>A8020 NEW 7000</t>
    <phoneticPr fontId="1" type="noConversion"/>
  </si>
  <si>
    <t>A8020 NEW 6000</t>
    <phoneticPr fontId="1" type="noConversion"/>
  </si>
  <si>
    <t>A8020_01 4500</t>
    <phoneticPr fontId="1" type="noConversion"/>
  </si>
  <si>
    <t>A8020_01</t>
    <phoneticPr fontId="1" type="noConversion"/>
  </si>
  <si>
    <t>A8020_01 4000</t>
    <phoneticPr fontId="1" type="noConversion"/>
  </si>
  <si>
    <t>A8020_01 3500</t>
    <phoneticPr fontId="1" type="noConversion"/>
  </si>
  <si>
    <t>A8020_01 3000</t>
    <phoneticPr fontId="1" type="noConversion"/>
  </si>
  <si>
    <t>A8020_01 2500</t>
    <phoneticPr fontId="1" type="noConversion"/>
  </si>
  <si>
    <t>A8020_01 2000</t>
    <phoneticPr fontId="1" type="noConversion"/>
  </si>
  <si>
    <t>A8020_02 4500</t>
    <phoneticPr fontId="1" type="noConversion"/>
  </si>
  <si>
    <t>A8020_02 4000</t>
    <phoneticPr fontId="1" type="noConversion"/>
  </si>
  <si>
    <t>A8020_02 3500</t>
    <phoneticPr fontId="1" type="noConversion"/>
  </si>
  <si>
    <t>A8020_02</t>
    <phoneticPr fontId="1" type="noConversion"/>
  </si>
  <si>
    <t>A8020_02 3000</t>
    <phoneticPr fontId="1" type="noConversion"/>
  </si>
  <si>
    <t>A8020_02 2500</t>
    <phoneticPr fontId="1" type="noConversion"/>
  </si>
  <si>
    <t>A8020_02 2000</t>
    <phoneticPr fontId="1" type="noConversion"/>
  </si>
  <si>
    <t>A8020_03 4500</t>
    <phoneticPr fontId="1" type="noConversion"/>
  </si>
  <si>
    <t>A8020_03 4000</t>
    <phoneticPr fontId="1" type="noConversion"/>
  </si>
  <si>
    <t>A8020_03 3500</t>
    <phoneticPr fontId="1" type="noConversion"/>
  </si>
  <si>
    <t>A8020_03 3000</t>
    <phoneticPr fontId="1" type="noConversion"/>
  </si>
  <si>
    <t>A8020_03 2500</t>
    <phoneticPr fontId="1" type="noConversion"/>
  </si>
  <si>
    <t>A8020_03</t>
    <phoneticPr fontId="1" type="noConversion"/>
  </si>
  <si>
    <t>A8020_03 2000</t>
    <phoneticPr fontId="1" type="noConversion"/>
  </si>
  <si>
    <t>A8020_02_SH 4500</t>
    <phoneticPr fontId="1" type="noConversion"/>
  </si>
  <si>
    <t>A8020_02_SH 4000</t>
    <phoneticPr fontId="1" type="noConversion"/>
  </si>
  <si>
    <t>A8020_02_SH 3500</t>
    <phoneticPr fontId="1" type="noConversion"/>
  </si>
  <si>
    <t>A8020_02_SH 3000</t>
    <phoneticPr fontId="1" type="noConversion"/>
  </si>
  <si>
    <t>A8020_02_SH 2500</t>
    <phoneticPr fontId="1" type="noConversion"/>
  </si>
  <si>
    <t>A8020_02_SH 2000</t>
    <phoneticPr fontId="1" type="noConversion"/>
  </si>
  <si>
    <t>A8020_02_SH</t>
    <phoneticPr fontId="1" type="noConversion"/>
  </si>
  <si>
    <t>Type</t>
    <phoneticPr fontId="1" type="noConversion"/>
  </si>
  <si>
    <t>RPM</t>
  </si>
  <si>
    <t>RPM</t>
    <phoneticPr fontId="1" type="noConversion"/>
  </si>
  <si>
    <t>OD</t>
  </si>
  <si>
    <t>ID</t>
  </si>
  <si>
    <t>FRAME</t>
  </si>
  <si>
    <t>HUB</t>
  </si>
  <si>
    <t>NUM</t>
  </si>
  <si>
    <t>GAP</t>
  </si>
  <si>
    <t>AOI</t>
  </si>
  <si>
    <t>LEN</t>
  </si>
  <si>
    <t>LO</t>
  </si>
  <si>
    <t>TH</t>
  </si>
  <si>
    <t>TTH</t>
  </si>
  <si>
    <t>CAM</t>
  </si>
  <si>
    <t>PO</t>
  </si>
  <si>
    <t>F</t>
  </si>
  <si>
    <t>S</t>
  </si>
  <si>
    <t>TYPE</t>
  </si>
  <si>
    <t>C1F3</t>
  </si>
  <si>
    <t>C1F3</t>
    <phoneticPr fontId="1" type="noConversion"/>
  </si>
  <si>
    <t>C2F3</t>
  </si>
  <si>
    <t>C2F3</t>
    <phoneticPr fontId="1" type="noConversion"/>
  </si>
  <si>
    <t xml:space="preserve">C2F3 </t>
    <phoneticPr fontId="1" type="noConversion"/>
  </si>
  <si>
    <t xml:space="preserve">B02 </t>
    <phoneticPr fontId="1" type="noConversion"/>
  </si>
  <si>
    <t xml:space="preserve">HW5 </t>
    <phoneticPr fontId="1" type="noConversion"/>
  </si>
  <si>
    <t>HW5</t>
  </si>
  <si>
    <t xml:space="preserve">HW7 </t>
    <phoneticPr fontId="1" type="noConversion"/>
  </si>
  <si>
    <t>HW7</t>
  </si>
  <si>
    <t xml:space="preserve">A5020ori </t>
    <phoneticPr fontId="1" type="noConversion"/>
  </si>
  <si>
    <t xml:space="preserve">A5020_4 </t>
    <phoneticPr fontId="1" type="noConversion"/>
  </si>
  <si>
    <t xml:space="preserve">A5020_4S </t>
    <phoneticPr fontId="1" type="noConversion"/>
  </si>
  <si>
    <t>A5020_4S</t>
  </si>
  <si>
    <t>A5020_4S</t>
    <phoneticPr fontId="1" type="noConversion"/>
  </si>
  <si>
    <t xml:space="preserve">A5020_7O45 </t>
    <phoneticPr fontId="1" type="noConversion"/>
  </si>
  <si>
    <t>A5020_7O45</t>
  </si>
  <si>
    <t xml:space="preserve">A5020_7O30 </t>
    <phoneticPr fontId="1" type="noConversion"/>
  </si>
  <si>
    <t>A5020_7O30</t>
  </si>
  <si>
    <t xml:space="preserve">A5020_7O60 </t>
    <phoneticPr fontId="1" type="noConversion"/>
  </si>
  <si>
    <t xml:space="preserve">A5020_7O20 </t>
    <phoneticPr fontId="1" type="noConversion"/>
  </si>
  <si>
    <t xml:space="preserve">TW_0618 </t>
    <phoneticPr fontId="1" type="noConversion"/>
  </si>
  <si>
    <t>TW_0618</t>
  </si>
  <si>
    <t xml:space="preserve">TW_reversed_0616 </t>
    <phoneticPr fontId="1" type="noConversion"/>
  </si>
  <si>
    <t>TW_reversed_0616</t>
  </si>
  <si>
    <t xml:space="preserve">H3 </t>
    <phoneticPr fontId="1" type="noConversion"/>
  </si>
  <si>
    <t>H3</t>
  </si>
  <si>
    <t xml:space="preserve">H5 </t>
    <phoneticPr fontId="1" type="noConversion"/>
  </si>
  <si>
    <t>H5</t>
  </si>
  <si>
    <t xml:space="preserve">A4010 </t>
    <phoneticPr fontId="1" type="noConversion"/>
  </si>
  <si>
    <t>A4010</t>
  </si>
  <si>
    <t xml:space="preserve">HT11 </t>
    <phoneticPr fontId="1" type="noConversion"/>
  </si>
  <si>
    <t>HT11</t>
    <phoneticPr fontId="1" type="noConversion"/>
  </si>
  <si>
    <t>A4020P_1</t>
  </si>
  <si>
    <t>A4020P_1</t>
    <phoneticPr fontId="1" type="noConversion"/>
  </si>
  <si>
    <t xml:space="preserve">A4020P_2 </t>
    <phoneticPr fontId="1" type="noConversion"/>
  </si>
  <si>
    <t>A4020P_2</t>
  </si>
  <si>
    <t>A4020P1.5</t>
  </si>
  <si>
    <t>A4020P1.5</t>
    <phoneticPr fontId="1" type="noConversion"/>
  </si>
  <si>
    <t xml:space="preserve">A4020P1.5 </t>
    <phoneticPr fontId="1" type="noConversion"/>
  </si>
  <si>
    <t xml:space="preserve">A4020P2.5 </t>
    <phoneticPr fontId="1" type="noConversion"/>
  </si>
  <si>
    <t>A4020P2.5</t>
  </si>
  <si>
    <t xml:space="preserve">A4020P_5O20 </t>
    <phoneticPr fontId="1" type="noConversion"/>
  </si>
  <si>
    <t>A4020P_5O20</t>
  </si>
  <si>
    <t xml:space="preserve">A4020P_5O30 </t>
    <phoneticPr fontId="1" type="noConversion"/>
  </si>
  <si>
    <t>A4020P_5O30</t>
  </si>
  <si>
    <t xml:space="preserve">A4020P_4B_01 </t>
    <phoneticPr fontId="1" type="noConversion"/>
  </si>
  <si>
    <t>A4020P_4B_01</t>
  </si>
  <si>
    <t>A4020P_4B_02</t>
  </si>
  <si>
    <t>A4020P_4B_02</t>
    <phoneticPr fontId="1" type="noConversion"/>
  </si>
  <si>
    <t xml:space="preserve">A4020P_4B_02 </t>
    <phoneticPr fontId="1" type="noConversion"/>
  </si>
  <si>
    <t xml:space="preserve">A4020P_4B_04 </t>
    <phoneticPr fontId="1" type="noConversion"/>
  </si>
  <si>
    <t>A4020P_4B_04</t>
  </si>
  <si>
    <t xml:space="preserve">kj_old </t>
    <phoneticPr fontId="1" type="noConversion"/>
  </si>
  <si>
    <t xml:space="preserve">kj_new </t>
    <phoneticPr fontId="1" type="noConversion"/>
  </si>
  <si>
    <t>kj_new</t>
    <phoneticPr fontId="1" type="noConversion"/>
  </si>
  <si>
    <t xml:space="preserve">KJ_A4515 </t>
    <phoneticPr fontId="1" type="noConversion"/>
  </si>
  <si>
    <t xml:space="preserve">TW01 </t>
    <phoneticPr fontId="1" type="noConversion"/>
  </si>
  <si>
    <t xml:space="preserve">A5020_DNN01 </t>
    <phoneticPr fontId="1" type="noConversion"/>
  </si>
  <si>
    <t>A5020_DNN01</t>
  </si>
  <si>
    <t>A5020_DNN01</t>
    <phoneticPr fontId="1" type="noConversion"/>
  </si>
  <si>
    <t xml:space="preserve">A5020_DNN02 </t>
    <phoneticPr fontId="1" type="noConversion"/>
  </si>
  <si>
    <t>A5020_DNN02</t>
  </si>
  <si>
    <t xml:space="preserve">BC01 </t>
    <phoneticPr fontId="1" type="noConversion"/>
  </si>
  <si>
    <t>BC01</t>
  </si>
  <si>
    <t xml:space="preserve">BC02 </t>
    <phoneticPr fontId="1" type="noConversion"/>
  </si>
  <si>
    <t>BC02</t>
  </si>
  <si>
    <t xml:space="preserve">A6020K </t>
    <phoneticPr fontId="1" type="noConversion"/>
  </si>
  <si>
    <t>A6020K</t>
  </si>
  <si>
    <t xml:space="preserve">A7020_old </t>
    <phoneticPr fontId="1" type="noConversion"/>
  </si>
  <si>
    <t xml:space="preserve">A8020_01 </t>
    <phoneticPr fontId="1" type="noConversion"/>
  </si>
  <si>
    <t>A8020_01</t>
  </si>
  <si>
    <t xml:space="preserve">A8020_02 </t>
    <phoneticPr fontId="1" type="noConversion"/>
  </si>
  <si>
    <t>A8020_02</t>
  </si>
  <si>
    <t xml:space="preserve">A8020_03 </t>
    <phoneticPr fontId="1" type="noConversion"/>
  </si>
  <si>
    <t>A8020_03</t>
  </si>
  <si>
    <t xml:space="preserve">A8020_02_SH </t>
    <phoneticPr fontId="1" type="noConversion"/>
  </si>
  <si>
    <t>A8020_02_SH</t>
  </si>
  <si>
    <t xml:space="preserve">A8020 NEW </t>
    <phoneticPr fontId="1" type="noConversion"/>
  </si>
  <si>
    <t>A8020 NEW</t>
  </si>
  <si>
    <t xml:space="preserve">QFR 8025 </t>
    <phoneticPr fontId="1" type="noConversion"/>
  </si>
  <si>
    <t>QFR 8025</t>
  </si>
  <si>
    <t>A7020_old</t>
    <phoneticPr fontId="1" type="noConversion"/>
  </si>
  <si>
    <t>point1</t>
    <phoneticPr fontId="1" type="noConversion"/>
  </si>
  <si>
    <t>point2</t>
  </si>
  <si>
    <t>point3</t>
  </si>
  <si>
    <t>point4</t>
  </si>
  <si>
    <t>point5</t>
  </si>
  <si>
    <t>Q</t>
    <phoneticPr fontId="1" type="noConversion"/>
  </si>
  <si>
    <t>P</t>
    <phoneticPr fontId="1" type="noConversion"/>
  </si>
  <si>
    <t>RootChordLength</t>
    <phoneticPr fontId="1" type="noConversion"/>
  </si>
  <si>
    <t>RootLeadEdgeOffset</t>
    <phoneticPr fontId="1" type="noConversion"/>
  </si>
  <si>
    <t>Input1</t>
    <phoneticPr fontId="1" type="noConversion"/>
  </si>
  <si>
    <t>Input2</t>
  </si>
  <si>
    <t>Input3</t>
  </si>
  <si>
    <t>Input4</t>
  </si>
  <si>
    <t>Input5</t>
  </si>
  <si>
    <t>Input6</t>
  </si>
  <si>
    <t>Input7</t>
  </si>
  <si>
    <t>Input8</t>
  </si>
  <si>
    <t>Input9</t>
  </si>
  <si>
    <t>Input10</t>
  </si>
  <si>
    <t>Input11</t>
  </si>
  <si>
    <t>Input12</t>
  </si>
  <si>
    <t>Input13</t>
  </si>
  <si>
    <t>Input14</t>
  </si>
  <si>
    <t>Input15</t>
  </si>
  <si>
    <t>Input16</t>
  </si>
  <si>
    <t>Input17</t>
  </si>
  <si>
    <t>Input18</t>
  </si>
  <si>
    <t>Input19</t>
  </si>
  <si>
    <t>Input20</t>
  </si>
  <si>
    <t>Input21</t>
  </si>
  <si>
    <t>Output1</t>
    <phoneticPr fontId="1" type="noConversion"/>
  </si>
  <si>
    <t>Output2</t>
  </si>
  <si>
    <t>Output3</t>
  </si>
  <si>
    <t>Output4</t>
  </si>
  <si>
    <t>Output5</t>
  </si>
  <si>
    <t>QFR 8025</t>
    <phoneticPr fontId="1" type="noConversion"/>
  </si>
  <si>
    <t>RootCH</t>
    <phoneticPr fontId="1" type="noConversion"/>
  </si>
  <si>
    <t>RootChord Height (mm)</t>
    <phoneticPr fontId="1" type="noConversion"/>
  </si>
  <si>
    <t>TipCH</t>
    <phoneticPr fontId="1" type="noConversion"/>
  </si>
  <si>
    <t>TipChord Height (mm)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</si>
</sst>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1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0" fillId="4" borderId="0" xfId="0" applyFill="1">
      <alignment vertical="center"/>
    </xf>
    <xf numFmtId="176" fontId="0" fillId="0" borderId="0" xfId="0" applyNumberFormat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0" fillId="6" borderId="0" xfId="0" applyFill="1">
      <alignment vertical="center"/>
    </xf>
    <xf numFmtId="176" fontId="0" fillId="6" borderId="0" xfId="0" applyNumberFormat="1" applyFill="1">
      <alignment vertical="center"/>
    </xf>
    <xf numFmtId="0" fontId="0" fillId="5" borderId="0" xfId="0" applyFill="1" applyAlignment="1">
      <alignment horizontal="center" vertical="center"/>
    </xf>
    <xf numFmtId="0" fontId="0" fillId="2" borderId="0" xfId="0" applyFill="1">
      <alignment vertical="center"/>
    </xf>
    <xf numFmtId="176" fontId="0" fillId="2" borderId="0" xfId="0" applyNumberFormat="1" applyFill="1">
      <alignment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" borderId="0" xfId="0" applyFill="1">
      <alignment vertical="center"/>
    </xf>
    <xf numFmtId="176" fontId="0" fillId="7" borderId="0" xfId="0" applyNumberFormat="1" applyFill="1">
      <alignment vertical="center"/>
    </xf>
    <xf numFmtId="176" fontId="0" fillId="3" borderId="0" xfId="0" applyNumberFormat="1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'A8020'!$X$11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'A8020'!$Y$12:$Y$16</c:f>
              <c:numCache>
                <c:formatCode>General</c:formatCode>
                <c:ptCount val="5"/>
              </c:numCache>
            </c:numRef>
          </c:xVal>
          <c:yVal>
            <c:numRef>
              <c:f>'A8020'!$X$12:$X$16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F4-4C3A-AD00-0A8C54111C54}"/>
            </c:ext>
          </c:extLst>
        </c:ser>
        <c:ser>
          <c:idx val="1"/>
          <c:order val="1"/>
          <c:tx>
            <c:strRef>
              <c:f>'A8020'!$X$3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'A8020'!$Y$4:$Y$8</c:f>
              <c:numCache>
                <c:formatCode>General</c:formatCode>
                <c:ptCount val="5"/>
              </c:numCache>
            </c:numRef>
          </c:xVal>
          <c:yVal>
            <c:numRef>
              <c:f>'A8020'!$X$4:$X$8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F4-4C3A-AD00-0A8C54111C54}"/>
            </c:ext>
          </c:extLst>
        </c:ser>
        <c:ser>
          <c:idx val="2"/>
          <c:order val="2"/>
          <c:tx>
            <c:strRef>
              <c:f>'A8020'!$X$19</c:f>
              <c:strCache>
                <c:ptCount val="1"/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'A8020'!$Y$20:$Y$24</c:f>
              <c:numCache>
                <c:formatCode>General</c:formatCode>
                <c:ptCount val="5"/>
              </c:numCache>
            </c:numRef>
          </c:xVal>
          <c:yVal>
            <c:numRef>
              <c:f>'A8020'!$X$20:$X$24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F4-4C3A-AD00-0A8C54111C54}"/>
            </c:ext>
          </c:extLst>
        </c:ser>
        <c:ser>
          <c:idx val="3"/>
          <c:order val="3"/>
          <c:tx>
            <c:strRef>
              <c:f>'A8020'!$X$27</c:f>
              <c:strCache>
                <c:ptCount val="1"/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'A8020'!$Y$28:$Y$32</c:f>
              <c:numCache>
                <c:formatCode>General</c:formatCode>
                <c:ptCount val="5"/>
              </c:numCache>
            </c:numRef>
          </c:xVal>
          <c:yVal>
            <c:numRef>
              <c:f>'A8020'!$X$28:$X$32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0F4-4C3A-AD00-0A8C54111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7440192"/>
        <c:axId val="1230803216"/>
      </c:scatterChart>
      <c:valAx>
        <c:axId val="167744019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30803216"/>
        <c:crosses val="autoZero"/>
        <c:crossBetween val="midCat"/>
      </c:valAx>
      <c:valAx>
        <c:axId val="123080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77440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'A8020(原始)'!$X$11</c:f>
              <c:strCache>
                <c:ptCount val="1"/>
                <c:pt idx="0">
                  <c:v>A8020_01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'A8020(原始)'!$Y$12:$Y$16</c:f>
              <c:numCache>
                <c:formatCode>General</c:formatCode>
                <c:ptCount val="5"/>
                <c:pt idx="0">
                  <c:v>46.24</c:v>
                </c:pt>
                <c:pt idx="1">
                  <c:v>34.82</c:v>
                </c:pt>
                <c:pt idx="2">
                  <c:v>29.89</c:v>
                </c:pt>
                <c:pt idx="3">
                  <c:v>19.920000000000002</c:v>
                </c:pt>
                <c:pt idx="4">
                  <c:v>0</c:v>
                </c:pt>
              </c:numCache>
            </c:numRef>
          </c:xVal>
          <c:yVal>
            <c:numRef>
              <c:f>'A8020(原始)'!$X$12:$X$16</c:f>
              <c:numCache>
                <c:formatCode>General</c:formatCode>
                <c:ptCount val="5"/>
                <c:pt idx="0">
                  <c:v>0</c:v>
                </c:pt>
                <c:pt idx="1">
                  <c:v>2.79</c:v>
                </c:pt>
                <c:pt idx="2">
                  <c:v>3.41</c:v>
                </c:pt>
                <c:pt idx="3">
                  <c:v>3.597</c:v>
                </c:pt>
                <c:pt idx="4">
                  <c:v>5.9340000000000002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11-429B-B5B7-23D30309A6D7}"/>
            </c:ext>
          </c:extLst>
        </c:ser>
        <c:ser>
          <c:idx val="1"/>
          <c:order val="1"/>
          <c:tx>
            <c:strRef>
              <c:f>'A8020(原始)'!$X$3</c:f>
              <c:strCache>
                <c:ptCount val="1"/>
                <c:pt idx="0">
                  <c:v>A8020 NEW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'A8020(原始)'!$Y$4:$Y$8</c:f>
              <c:numCache>
                <c:formatCode>General</c:formatCode>
                <c:ptCount val="5"/>
                <c:pt idx="0">
                  <c:v>0</c:v>
                </c:pt>
                <c:pt idx="1">
                  <c:v>22.348513836083175</c:v>
                </c:pt>
                <c:pt idx="2">
                  <c:v>27.430775250789857</c:v>
                </c:pt>
                <c:pt idx="3">
                  <c:v>31.724519443055684</c:v>
                </c:pt>
                <c:pt idx="4">
                  <c:v>38.861420574767436</c:v>
                </c:pt>
              </c:numCache>
            </c:numRef>
          </c:xVal>
          <c:yVal>
            <c:numRef>
              <c:f>'A8020(原始)'!$X$4:$X$8</c:f>
              <c:numCache>
                <c:formatCode>General</c:formatCode>
                <c:ptCount val="5"/>
                <c:pt idx="0">
                  <c:v>10.800405841853236</c:v>
                </c:pt>
                <c:pt idx="1">
                  <c:v>3.3655210204637847</c:v>
                </c:pt>
                <c:pt idx="2">
                  <c:v>3.1626203993427464</c:v>
                </c:pt>
                <c:pt idx="3">
                  <c:v>2.5624441057014198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11-429B-B5B7-23D30309A6D7}"/>
            </c:ext>
          </c:extLst>
        </c:ser>
        <c:ser>
          <c:idx val="2"/>
          <c:order val="2"/>
          <c:tx>
            <c:strRef>
              <c:f>'A8020(原始)'!$X$19</c:f>
              <c:strCache>
                <c:ptCount val="1"/>
                <c:pt idx="0">
                  <c:v>A8020_02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'A8020(原始)'!$Y$20:$Y$24</c:f>
              <c:numCache>
                <c:formatCode>General</c:formatCode>
                <c:ptCount val="5"/>
                <c:pt idx="0">
                  <c:v>49.99</c:v>
                </c:pt>
                <c:pt idx="1">
                  <c:v>34.99</c:v>
                </c:pt>
                <c:pt idx="2">
                  <c:v>29.93</c:v>
                </c:pt>
                <c:pt idx="3">
                  <c:v>19.96</c:v>
                </c:pt>
                <c:pt idx="4">
                  <c:v>0</c:v>
                </c:pt>
              </c:numCache>
            </c:numRef>
          </c:xVal>
          <c:yVal>
            <c:numRef>
              <c:f>'A8020(原始)'!$X$20:$X$24</c:f>
              <c:numCache>
                <c:formatCode>General</c:formatCode>
                <c:ptCount val="5"/>
                <c:pt idx="0">
                  <c:v>0</c:v>
                </c:pt>
                <c:pt idx="1">
                  <c:v>3.22</c:v>
                </c:pt>
                <c:pt idx="2">
                  <c:v>3.79</c:v>
                </c:pt>
                <c:pt idx="3">
                  <c:v>3.8090000000000002</c:v>
                </c:pt>
                <c:pt idx="4">
                  <c:v>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E11-429B-B5B7-23D30309A6D7}"/>
            </c:ext>
          </c:extLst>
        </c:ser>
        <c:ser>
          <c:idx val="3"/>
          <c:order val="3"/>
          <c:tx>
            <c:strRef>
              <c:f>'A8020(原始)'!$X$27</c:f>
              <c:strCache>
                <c:ptCount val="1"/>
                <c:pt idx="0">
                  <c:v>A8020_03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'A8020(原始)'!$Y$28:$Y$32</c:f>
              <c:numCache>
                <c:formatCode>General</c:formatCode>
                <c:ptCount val="5"/>
                <c:pt idx="0">
                  <c:v>46</c:v>
                </c:pt>
                <c:pt idx="1">
                  <c:v>34.89</c:v>
                </c:pt>
                <c:pt idx="2">
                  <c:v>29.94</c:v>
                </c:pt>
                <c:pt idx="3">
                  <c:v>19.989999999999998</c:v>
                </c:pt>
                <c:pt idx="4">
                  <c:v>0</c:v>
                </c:pt>
              </c:numCache>
            </c:numRef>
          </c:xVal>
          <c:yVal>
            <c:numRef>
              <c:f>'A8020(原始)'!$X$28:$X$32</c:f>
              <c:numCache>
                <c:formatCode>General</c:formatCode>
                <c:ptCount val="5"/>
                <c:pt idx="0">
                  <c:v>0</c:v>
                </c:pt>
                <c:pt idx="1">
                  <c:v>3.57</c:v>
                </c:pt>
                <c:pt idx="2">
                  <c:v>4.327</c:v>
                </c:pt>
                <c:pt idx="3">
                  <c:v>4.3040000000000003</c:v>
                </c:pt>
                <c:pt idx="4">
                  <c:v>7.84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E11-429B-B5B7-23D30309A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7440192"/>
        <c:axId val="1230803216"/>
      </c:scatterChart>
      <c:valAx>
        <c:axId val="167744019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30803216"/>
        <c:crosses val="autoZero"/>
        <c:crossBetween val="midCat"/>
      </c:valAx>
      <c:valAx>
        <c:axId val="123080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77440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152257</xdr:colOff>
      <xdr:row>41</xdr:row>
      <xdr:rowOff>124250</xdr:rowOff>
    </xdr:from>
    <xdr:to>
      <xdr:col>16</xdr:col>
      <xdr:colOff>112609</xdr:colOff>
      <xdr:row>71</xdr:row>
      <xdr:rowOff>53491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896C59C7-F962-4E32-8A17-83B1740C96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152257</xdr:colOff>
      <xdr:row>41</xdr:row>
      <xdr:rowOff>124250</xdr:rowOff>
    </xdr:from>
    <xdr:to>
      <xdr:col>16</xdr:col>
      <xdr:colOff>112609</xdr:colOff>
      <xdr:row>71</xdr:row>
      <xdr:rowOff>53491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1499F58-B05B-479E-A98A-0EC835D3E5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7FB68-20BF-40DF-800A-E711A74AB745}">
  <dimension ref="A1:AH191"/>
  <sheetViews>
    <sheetView tabSelected="1" zoomScaleNormal="100" workbookViewId="0">
      <pane xSplit="1" ySplit="3" topLeftCell="F73" activePane="bottomRight" state="frozen"/>
      <selection pane="topRight" activeCell="B1" sqref="B1"/>
      <selection pane="bottomLeft" activeCell="A3" sqref="A3"/>
      <selection pane="bottomRight" activeCell="A82" sqref="A82:XFD85"/>
    </sheetView>
  </sheetViews>
  <sheetFormatPr defaultRowHeight="16.2" x14ac:dyDescent="0.3"/>
  <cols>
    <col min="1" max="1" width="23.21875" bestFit="1" customWidth="1"/>
    <col min="2" max="2" width="6" bestFit="1" customWidth="1"/>
    <col min="3" max="3" width="14.21875" customWidth="1"/>
    <col min="4" max="4" width="13.77734375" customWidth="1"/>
    <col min="5" max="5" width="12.5546875" customWidth="1"/>
    <col min="6" max="6" width="10.6640625" customWidth="1"/>
    <col min="7" max="8" width="13.44140625" customWidth="1"/>
    <col min="9" max="9" width="19" customWidth="1"/>
    <col min="10" max="10" width="17.6640625" customWidth="1"/>
    <col min="11" max="11" width="21.77734375" hidden="1" customWidth="1"/>
    <col min="12" max="12" width="21.77734375" customWidth="1"/>
    <col min="13" max="13" width="20" hidden="1" customWidth="1"/>
    <col min="14" max="14" width="20" customWidth="1"/>
    <col min="15" max="15" width="19.6640625" customWidth="1"/>
    <col min="16" max="16" width="18.33203125" customWidth="1"/>
    <col min="17" max="17" width="13.77734375" customWidth="1"/>
    <col min="18" max="18" width="13.88671875" customWidth="1"/>
    <col min="19" max="19" width="23.44140625" customWidth="1"/>
    <col min="20" max="20" width="18.109375" customWidth="1"/>
    <col min="21" max="21" width="19.44140625" customWidth="1"/>
    <col min="22" max="22" width="18.109375" customWidth="1"/>
    <col min="23" max="23" width="13.77734375" customWidth="1"/>
    <col min="24" max="24" width="14.88671875" customWidth="1"/>
  </cols>
  <sheetData>
    <row r="1" spans="1:34" x14ac:dyDescent="0.3">
      <c r="B1" t="s">
        <v>184</v>
      </c>
      <c r="C1" t="s">
        <v>185</v>
      </c>
      <c r="D1" t="s">
        <v>186</v>
      </c>
      <c r="E1" t="s">
        <v>187</v>
      </c>
      <c r="F1" t="s">
        <v>188</v>
      </c>
      <c r="G1" t="s">
        <v>189</v>
      </c>
      <c r="H1" t="s">
        <v>190</v>
      </c>
      <c r="I1" t="s">
        <v>191</v>
      </c>
      <c r="J1" t="s">
        <v>192</v>
      </c>
      <c r="K1" t="s">
        <v>193</v>
      </c>
      <c r="M1" t="s">
        <v>194</v>
      </c>
      <c r="O1" t="s">
        <v>195</v>
      </c>
      <c r="P1" t="s">
        <v>196</v>
      </c>
      <c r="Q1" t="s">
        <v>197</v>
      </c>
      <c r="R1" t="s">
        <v>198</v>
      </c>
      <c r="S1" t="s">
        <v>199</v>
      </c>
      <c r="T1" t="s">
        <v>200</v>
      </c>
      <c r="U1" t="s">
        <v>201</v>
      </c>
      <c r="V1" t="s">
        <v>202</v>
      </c>
      <c r="W1" t="s">
        <v>203</v>
      </c>
      <c r="X1" t="s">
        <v>204</v>
      </c>
      <c r="Y1" s="22" t="s">
        <v>205</v>
      </c>
      <c r="Z1" s="22"/>
      <c r="AA1" s="22" t="s">
        <v>206</v>
      </c>
      <c r="AB1" s="22"/>
      <c r="AC1" s="22" t="s">
        <v>207</v>
      </c>
      <c r="AD1" s="22"/>
      <c r="AE1" s="22" t="s">
        <v>208</v>
      </c>
      <c r="AF1" s="22"/>
      <c r="AG1" s="22" t="s">
        <v>209</v>
      </c>
      <c r="AH1" s="22"/>
    </row>
    <row r="2" spans="1:34" s="13" customFormat="1" x14ac:dyDescent="0.3">
      <c r="A2" s="13" t="s">
        <v>91</v>
      </c>
      <c r="B2" s="13" t="s">
        <v>74</v>
      </c>
      <c r="C2" s="13" t="s">
        <v>76</v>
      </c>
      <c r="D2" s="13" t="s">
        <v>77</v>
      </c>
      <c r="E2" s="13" t="s">
        <v>78</v>
      </c>
      <c r="F2" s="13" t="s">
        <v>79</v>
      </c>
      <c r="G2" s="13" t="s">
        <v>80</v>
      </c>
      <c r="H2" s="13" t="s">
        <v>81</v>
      </c>
      <c r="I2" s="13" t="s">
        <v>82</v>
      </c>
      <c r="J2" s="13" t="s">
        <v>82</v>
      </c>
      <c r="K2" s="13" t="s">
        <v>83</v>
      </c>
      <c r="L2" s="18" t="s">
        <v>211</v>
      </c>
      <c r="M2" s="13" t="s">
        <v>84</v>
      </c>
      <c r="N2" s="18" t="s">
        <v>213</v>
      </c>
      <c r="O2" s="13" t="s">
        <v>84</v>
      </c>
      <c r="P2" s="13" t="s">
        <v>83</v>
      </c>
      <c r="Q2" s="13" t="s">
        <v>85</v>
      </c>
      <c r="R2" s="13" t="s">
        <v>86</v>
      </c>
      <c r="S2" s="13" t="s">
        <v>87</v>
      </c>
      <c r="T2" s="13" t="s">
        <v>87</v>
      </c>
      <c r="U2" s="13" t="s">
        <v>88</v>
      </c>
      <c r="V2" s="13" t="s">
        <v>88</v>
      </c>
      <c r="W2" s="13" t="s">
        <v>89</v>
      </c>
      <c r="X2" s="13" t="s">
        <v>90</v>
      </c>
      <c r="Y2" s="21" t="s">
        <v>175</v>
      </c>
      <c r="Z2" s="21"/>
      <c r="AA2" s="21" t="s">
        <v>176</v>
      </c>
      <c r="AB2" s="21"/>
      <c r="AC2" s="21" t="s">
        <v>177</v>
      </c>
      <c r="AD2" s="21"/>
      <c r="AE2" s="21" t="s">
        <v>178</v>
      </c>
      <c r="AF2" s="21"/>
      <c r="AG2" s="21" t="s">
        <v>179</v>
      </c>
      <c r="AH2" s="21"/>
    </row>
    <row r="3" spans="1:34" s="13" customFormat="1" x14ac:dyDescent="0.3">
      <c r="A3" s="13" t="s">
        <v>73</v>
      </c>
      <c r="B3" s="14" t="s">
        <v>75</v>
      </c>
      <c r="C3" s="14" t="s">
        <v>18</v>
      </c>
      <c r="D3" s="14" t="s">
        <v>19</v>
      </c>
      <c r="E3" s="14" t="s">
        <v>20</v>
      </c>
      <c r="F3" s="13" t="s">
        <v>21</v>
      </c>
      <c r="G3" s="14" t="s">
        <v>22</v>
      </c>
      <c r="H3" s="14" t="s">
        <v>23</v>
      </c>
      <c r="I3" s="14" t="s">
        <v>24</v>
      </c>
      <c r="J3" s="14" t="s">
        <v>25</v>
      </c>
      <c r="K3" s="14" t="s">
        <v>182</v>
      </c>
      <c r="L3" s="14" t="s">
        <v>212</v>
      </c>
      <c r="M3" s="14" t="s">
        <v>27</v>
      </c>
      <c r="N3" s="14" t="s">
        <v>214</v>
      </c>
      <c r="O3" s="14" t="s">
        <v>183</v>
      </c>
      <c r="P3" s="14" t="s">
        <v>29</v>
      </c>
      <c r="Q3" s="14" t="s">
        <v>30</v>
      </c>
      <c r="R3" s="14" t="s">
        <v>31</v>
      </c>
      <c r="S3" s="14" t="s">
        <v>32</v>
      </c>
      <c r="T3" s="14" t="s">
        <v>33</v>
      </c>
      <c r="U3" s="14" t="s">
        <v>32</v>
      </c>
      <c r="V3" s="14" t="s">
        <v>33</v>
      </c>
      <c r="W3" s="14" t="s">
        <v>34</v>
      </c>
      <c r="X3" s="14" t="s">
        <v>35</v>
      </c>
      <c r="Y3" s="13" t="s">
        <v>181</v>
      </c>
      <c r="Z3" s="13" t="s">
        <v>180</v>
      </c>
      <c r="AA3" s="15" t="s">
        <v>181</v>
      </c>
      <c r="AB3" s="15" t="s">
        <v>180</v>
      </c>
      <c r="AC3" s="15" t="s">
        <v>181</v>
      </c>
      <c r="AD3" s="15" t="s">
        <v>180</v>
      </c>
      <c r="AE3" s="15" t="s">
        <v>181</v>
      </c>
      <c r="AF3" s="15" t="s">
        <v>180</v>
      </c>
      <c r="AG3" s="15" t="s">
        <v>181</v>
      </c>
      <c r="AH3" s="15" t="s">
        <v>180</v>
      </c>
    </row>
    <row r="4" spans="1:34" x14ac:dyDescent="0.3">
      <c r="A4" t="s">
        <v>93</v>
      </c>
      <c r="B4">
        <v>7000</v>
      </c>
      <c r="C4">
        <v>47</v>
      </c>
      <c r="D4">
        <v>20.5</v>
      </c>
      <c r="E4">
        <v>15</v>
      </c>
      <c r="F4">
        <v>10.15</v>
      </c>
      <c r="G4">
        <v>7</v>
      </c>
      <c r="H4">
        <v>0.7</v>
      </c>
      <c r="I4">
        <v>51.7</v>
      </c>
      <c r="J4">
        <v>34.200000000000003</v>
      </c>
      <c r="K4">
        <v>10.933050890000001</v>
      </c>
      <c r="L4" s="19">
        <f t="shared" ref="L4:L67" si="0">K4*SIN(I4/180*PI())</f>
        <v>8.5799999963076932</v>
      </c>
      <c r="M4">
        <v>18.004446309999999</v>
      </c>
      <c r="N4" s="19">
        <f t="shared" ref="N4:N67" si="1">M4*SIN(J4/180*PI())</f>
        <v>10.119999998282127</v>
      </c>
      <c r="O4">
        <v>0</v>
      </c>
      <c r="P4">
        <v>0</v>
      </c>
      <c r="Q4">
        <v>1.2</v>
      </c>
      <c r="R4">
        <v>0.6</v>
      </c>
      <c r="S4">
        <v>0.05</v>
      </c>
      <c r="T4">
        <v>7.0000000000000007E-2</v>
      </c>
      <c r="U4">
        <v>0.59</v>
      </c>
      <c r="V4">
        <v>0.54</v>
      </c>
      <c r="W4">
        <v>30</v>
      </c>
      <c r="X4">
        <v>10</v>
      </c>
      <c r="Y4" s="10">
        <v>10.337958</v>
      </c>
      <c r="Z4" s="10">
        <v>0</v>
      </c>
      <c r="AA4" s="10">
        <v>2.7467157329999998</v>
      </c>
      <c r="AB4" s="10">
        <v>11.21757298</v>
      </c>
      <c r="AC4" s="10">
        <v>3.302537187</v>
      </c>
      <c r="AD4" s="10">
        <v>14.140503219999999</v>
      </c>
      <c r="AE4" s="10">
        <v>2.5763773419999998</v>
      </c>
      <c r="AF4" s="10">
        <v>17.323571449999999</v>
      </c>
      <c r="AG4" s="10">
        <v>0</v>
      </c>
      <c r="AH4" s="10">
        <v>20.712994800000001</v>
      </c>
    </row>
    <row r="5" spans="1:34" x14ac:dyDescent="0.3">
      <c r="A5" t="s">
        <v>93</v>
      </c>
      <c r="B5">
        <v>6000</v>
      </c>
      <c r="C5">
        <v>47</v>
      </c>
      <c r="D5">
        <v>20.5</v>
      </c>
      <c r="E5">
        <v>15</v>
      </c>
      <c r="F5">
        <v>10.15</v>
      </c>
      <c r="G5">
        <v>7</v>
      </c>
      <c r="H5">
        <v>0.7</v>
      </c>
      <c r="I5">
        <v>51.7</v>
      </c>
      <c r="J5">
        <v>34.200000000000003</v>
      </c>
      <c r="K5">
        <v>10.933050890000001</v>
      </c>
      <c r="L5" s="19">
        <f t="shared" si="0"/>
        <v>8.5799999963076932</v>
      </c>
      <c r="M5">
        <v>18.004446309999999</v>
      </c>
      <c r="N5" s="19">
        <f t="shared" si="1"/>
        <v>10.119999998282127</v>
      </c>
      <c r="O5">
        <v>0</v>
      </c>
      <c r="P5">
        <v>0</v>
      </c>
      <c r="Q5">
        <v>1.2</v>
      </c>
      <c r="R5">
        <v>0.6</v>
      </c>
      <c r="S5">
        <v>0.05</v>
      </c>
      <c r="T5">
        <v>7.0000000000000007E-2</v>
      </c>
      <c r="U5">
        <v>0.59</v>
      </c>
      <c r="V5">
        <v>0.54</v>
      </c>
      <c r="W5">
        <v>30</v>
      </c>
      <c r="X5">
        <v>10</v>
      </c>
      <c r="Y5" s="10">
        <v>7.5952344519999997</v>
      </c>
      <c r="Z5" s="10">
        <v>0</v>
      </c>
      <c r="AA5" s="10">
        <v>2.0179952330000002</v>
      </c>
      <c r="AB5" s="10">
        <v>9.6150625509999994</v>
      </c>
      <c r="AC5" s="10">
        <v>2.4263538520000001</v>
      </c>
      <c r="AD5" s="10">
        <v>12.120431330000001</v>
      </c>
      <c r="AE5" s="10">
        <v>1.892848659</v>
      </c>
      <c r="AF5" s="10">
        <v>14.848775529999999</v>
      </c>
      <c r="AG5" s="10">
        <v>0</v>
      </c>
      <c r="AH5" s="10">
        <v>17.753995549999999</v>
      </c>
    </row>
    <row r="6" spans="1:34" x14ac:dyDescent="0.3">
      <c r="A6" t="s">
        <v>92</v>
      </c>
      <c r="B6">
        <v>5000</v>
      </c>
      <c r="C6">
        <v>47</v>
      </c>
      <c r="D6">
        <v>20.5</v>
      </c>
      <c r="E6">
        <v>15</v>
      </c>
      <c r="F6">
        <v>10.15</v>
      </c>
      <c r="G6">
        <v>7</v>
      </c>
      <c r="H6">
        <v>0.7</v>
      </c>
      <c r="I6">
        <v>51.7</v>
      </c>
      <c r="J6">
        <v>34.200000000000003</v>
      </c>
      <c r="K6">
        <v>10.933050890000001</v>
      </c>
      <c r="L6" s="19">
        <f t="shared" si="0"/>
        <v>8.5799999963076932</v>
      </c>
      <c r="M6">
        <v>18.004446309999999</v>
      </c>
      <c r="N6" s="19">
        <f t="shared" si="1"/>
        <v>10.119999998282127</v>
      </c>
      <c r="O6">
        <v>0</v>
      </c>
      <c r="P6">
        <v>0</v>
      </c>
      <c r="Q6">
        <v>1.2</v>
      </c>
      <c r="R6">
        <v>0.6</v>
      </c>
      <c r="S6">
        <v>0.05</v>
      </c>
      <c r="T6">
        <v>7.0000000000000007E-2</v>
      </c>
      <c r="U6">
        <v>0.59</v>
      </c>
      <c r="V6">
        <v>0.54</v>
      </c>
      <c r="W6">
        <v>30</v>
      </c>
      <c r="X6">
        <v>10</v>
      </c>
      <c r="Y6" s="10">
        <v>5.274468369</v>
      </c>
      <c r="Z6" s="10">
        <v>0</v>
      </c>
      <c r="AA6" s="10">
        <v>1.401385578</v>
      </c>
      <c r="AB6" s="10">
        <v>8.0125521259999992</v>
      </c>
      <c r="AC6" s="10">
        <v>1.684967952</v>
      </c>
      <c r="AD6" s="10">
        <v>10.10035944</v>
      </c>
      <c r="AE6" s="10">
        <v>1.3144782349999999</v>
      </c>
      <c r="AF6" s="10">
        <v>12.373979609999999</v>
      </c>
      <c r="AG6" s="10">
        <v>0</v>
      </c>
      <c r="AH6" s="10">
        <v>14.79499629</v>
      </c>
    </row>
    <row r="7" spans="1:34" x14ac:dyDescent="0.3">
      <c r="A7" t="s">
        <v>92</v>
      </c>
      <c r="B7">
        <v>4000</v>
      </c>
      <c r="C7">
        <v>47</v>
      </c>
      <c r="D7">
        <v>20.5</v>
      </c>
      <c r="E7">
        <v>15</v>
      </c>
      <c r="F7">
        <v>10.15</v>
      </c>
      <c r="G7">
        <v>7</v>
      </c>
      <c r="H7">
        <v>0.7</v>
      </c>
      <c r="I7">
        <v>51.7</v>
      </c>
      <c r="J7">
        <v>34.200000000000003</v>
      </c>
      <c r="K7">
        <v>10.933050890000001</v>
      </c>
      <c r="L7" s="19">
        <f t="shared" si="0"/>
        <v>8.5799999963076932</v>
      </c>
      <c r="M7">
        <v>18.004446309999999</v>
      </c>
      <c r="N7" s="19">
        <f t="shared" si="1"/>
        <v>10.119999998282127</v>
      </c>
      <c r="O7">
        <v>0</v>
      </c>
      <c r="P7">
        <v>0</v>
      </c>
      <c r="Q7">
        <v>1.2</v>
      </c>
      <c r="R7">
        <v>0.6</v>
      </c>
      <c r="S7">
        <v>0.05</v>
      </c>
      <c r="T7">
        <v>7.0000000000000007E-2</v>
      </c>
      <c r="U7">
        <v>0.59</v>
      </c>
      <c r="V7">
        <v>0.54</v>
      </c>
      <c r="W7">
        <v>30</v>
      </c>
      <c r="X7">
        <v>10</v>
      </c>
      <c r="Y7" s="10">
        <v>3.3756597560000001</v>
      </c>
      <c r="Z7" s="10">
        <v>0</v>
      </c>
      <c r="AA7" s="10">
        <v>0.89688677000000006</v>
      </c>
      <c r="AB7" s="10">
        <v>6.4100417009999999</v>
      </c>
      <c r="AC7" s="10">
        <v>1.0783794900000001</v>
      </c>
      <c r="AD7" s="10">
        <v>8.0802875529999998</v>
      </c>
      <c r="AE7" s="10">
        <v>0.84126607099999995</v>
      </c>
      <c r="AF7" s="10">
        <v>9.8991836880000008</v>
      </c>
      <c r="AG7" s="10">
        <v>0</v>
      </c>
      <c r="AH7" s="10">
        <v>11.83599703</v>
      </c>
    </row>
    <row r="8" spans="1:34" x14ac:dyDescent="0.3">
      <c r="A8" t="s">
        <v>95</v>
      </c>
      <c r="B8">
        <v>7000</v>
      </c>
      <c r="C8">
        <v>47</v>
      </c>
      <c r="D8">
        <v>20.5</v>
      </c>
      <c r="E8">
        <v>15</v>
      </c>
      <c r="F8">
        <v>10.15</v>
      </c>
      <c r="G8">
        <v>5</v>
      </c>
      <c r="H8">
        <v>0.45</v>
      </c>
      <c r="I8">
        <v>51.7</v>
      </c>
      <c r="J8">
        <v>34.200000000000003</v>
      </c>
      <c r="K8">
        <v>10.933050890000001</v>
      </c>
      <c r="L8" s="19">
        <f t="shared" si="0"/>
        <v>8.5799999963076932</v>
      </c>
      <c r="M8">
        <v>18.004446309999999</v>
      </c>
      <c r="N8" s="19">
        <f t="shared" si="1"/>
        <v>10.119999998282127</v>
      </c>
      <c r="O8">
        <v>0</v>
      </c>
      <c r="P8">
        <v>0</v>
      </c>
      <c r="Q8">
        <v>1.2</v>
      </c>
      <c r="R8">
        <v>0.6</v>
      </c>
      <c r="S8">
        <v>0.05</v>
      </c>
      <c r="T8">
        <v>7.0000000000000007E-2</v>
      </c>
      <c r="U8">
        <v>0.59</v>
      </c>
      <c r="V8">
        <v>0.54</v>
      </c>
      <c r="W8">
        <v>30</v>
      </c>
      <c r="X8">
        <v>10</v>
      </c>
      <c r="Y8" s="10">
        <v>9.9596638120000005</v>
      </c>
      <c r="Z8" s="10">
        <v>0</v>
      </c>
      <c r="AA8" s="10">
        <v>3.7603205000000002</v>
      </c>
      <c r="AB8" s="10">
        <v>10.42632098</v>
      </c>
      <c r="AC8" s="10">
        <v>3.711237557</v>
      </c>
      <c r="AD8" s="10">
        <v>15.462733050000001</v>
      </c>
      <c r="AE8" s="10">
        <v>3.083732157</v>
      </c>
      <c r="AF8" s="10">
        <v>17.36337194</v>
      </c>
      <c r="AG8" s="10">
        <v>0</v>
      </c>
      <c r="AH8" s="10">
        <v>22.048745520000001</v>
      </c>
    </row>
    <row r="9" spans="1:34" x14ac:dyDescent="0.3">
      <c r="A9" t="s">
        <v>96</v>
      </c>
      <c r="B9">
        <v>6000</v>
      </c>
      <c r="C9">
        <v>47</v>
      </c>
      <c r="D9">
        <v>20.5</v>
      </c>
      <c r="E9">
        <v>15</v>
      </c>
      <c r="F9">
        <v>10.15</v>
      </c>
      <c r="G9">
        <v>5</v>
      </c>
      <c r="H9">
        <v>0.45</v>
      </c>
      <c r="I9">
        <v>51.7</v>
      </c>
      <c r="J9">
        <v>34.200000000000003</v>
      </c>
      <c r="K9">
        <v>10.933050890000001</v>
      </c>
      <c r="L9" s="19">
        <f t="shared" si="0"/>
        <v>8.5799999963076932</v>
      </c>
      <c r="M9">
        <v>18.004446309999999</v>
      </c>
      <c r="N9" s="19">
        <f t="shared" si="1"/>
        <v>10.119999998282127</v>
      </c>
      <c r="O9">
        <v>0</v>
      </c>
      <c r="P9">
        <v>0</v>
      </c>
      <c r="Q9">
        <v>1.2</v>
      </c>
      <c r="R9">
        <v>0.6</v>
      </c>
      <c r="S9">
        <v>0.05</v>
      </c>
      <c r="T9">
        <v>7.0000000000000007E-2</v>
      </c>
      <c r="U9">
        <v>0.59</v>
      </c>
      <c r="V9">
        <v>0.54</v>
      </c>
      <c r="W9">
        <v>30</v>
      </c>
      <c r="X9">
        <v>10</v>
      </c>
      <c r="Y9" s="10">
        <v>7.3173040250000003</v>
      </c>
      <c r="Z9" s="10">
        <v>0</v>
      </c>
      <c r="AA9" s="10">
        <v>2.762684449</v>
      </c>
      <c r="AB9" s="10">
        <v>8.9368465520000004</v>
      </c>
      <c r="AC9" s="10">
        <v>2.7266235110000001</v>
      </c>
      <c r="AD9" s="10">
        <v>13.253771179999999</v>
      </c>
      <c r="AE9" s="10">
        <v>2.2655991360000001</v>
      </c>
      <c r="AF9" s="10">
        <v>14.882890229999999</v>
      </c>
      <c r="AG9" s="10">
        <v>0</v>
      </c>
      <c r="AH9" s="10">
        <v>18.898924730000001</v>
      </c>
    </row>
    <row r="10" spans="1:34" x14ac:dyDescent="0.3">
      <c r="A10" t="s">
        <v>94</v>
      </c>
      <c r="B10">
        <v>5000</v>
      </c>
      <c r="C10">
        <v>47</v>
      </c>
      <c r="D10">
        <v>20.5</v>
      </c>
      <c r="E10">
        <v>15</v>
      </c>
      <c r="F10">
        <v>10.15</v>
      </c>
      <c r="G10">
        <v>5</v>
      </c>
      <c r="H10">
        <v>0.45</v>
      </c>
      <c r="I10">
        <v>51.7</v>
      </c>
      <c r="J10">
        <v>34.200000000000003</v>
      </c>
      <c r="K10">
        <v>10.933050890000001</v>
      </c>
      <c r="L10" s="19">
        <f t="shared" si="0"/>
        <v>8.5799999963076932</v>
      </c>
      <c r="M10">
        <v>18.004446309999999</v>
      </c>
      <c r="N10" s="19">
        <f t="shared" si="1"/>
        <v>10.119999998282127</v>
      </c>
      <c r="O10">
        <v>0</v>
      </c>
      <c r="P10">
        <v>0</v>
      </c>
      <c r="Q10">
        <v>1.2</v>
      </c>
      <c r="R10">
        <v>0.6</v>
      </c>
      <c r="S10">
        <v>0.05</v>
      </c>
      <c r="T10">
        <v>7.0000000000000007E-2</v>
      </c>
      <c r="U10">
        <v>0.59</v>
      </c>
      <c r="V10">
        <v>0.54</v>
      </c>
      <c r="W10">
        <v>30</v>
      </c>
      <c r="X10">
        <v>10</v>
      </c>
      <c r="Y10" s="10">
        <v>5.081461129</v>
      </c>
      <c r="Z10" s="10">
        <v>0</v>
      </c>
      <c r="AA10" s="10">
        <v>1.9185308670000001</v>
      </c>
      <c r="AB10" s="10">
        <v>7.4473721260000003</v>
      </c>
      <c r="AC10" s="10">
        <v>1.89348855</v>
      </c>
      <c r="AD10" s="10">
        <v>11.044809320000001</v>
      </c>
      <c r="AE10" s="10">
        <v>1.573332733</v>
      </c>
      <c r="AF10" s="10">
        <v>12.402408530000001</v>
      </c>
      <c r="AG10" s="10">
        <v>0</v>
      </c>
      <c r="AH10" s="10">
        <v>15.749103939999999</v>
      </c>
    </row>
    <row r="11" spans="1:34" x14ac:dyDescent="0.3">
      <c r="A11" t="s">
        <v>94</v>
      </c>
      <c r="B11">
        <v>4000</v>
      </c>
      <c r="C11">
        <v>47</v>
      </c>
      <c r="D11">
        <v>20.5</v>
      </c>
      <c r="E11">
        <v>15</v>
      </c>
      <c r="F11">
        <v>10.15</v>
      </c>
      <c r="G11">
        <v>5</v>
      </c>
      <c r="H11">
        <v>0.45</v>
      </c>
      <c r="I11">
        <v>51.7</v>
      </c>
      <c r="J11">
        <v>34.200000000000003</v>
      </c>
      <c r="K11">
        <v>10.933050890000001</v>
      </c>
      <c r="L11" s="19">
        <f t="shared" si="0"/>
        <v>8.5799999963076932</v>
      </c>
      <c r="M11">
        <v>18.004446309999999</v>
      </c>
      <c r="N11" s="19">
        <f t="shared" si="1"/>
        <v>10.119999998282127</v>
      </c>
      <c r="O11">
        <v>0</v>
      </c>
      <c r="P11">
        <v>0</v>
      </c>
      <c r="Q11">
        <v>1.2</v>
      </c>
      <c r="R11">
        <v>0.6</v>
      </c>
      <c r="S11">
        <v>0.05</v>
      </c>
      <c r="T11">
        <v>7.0000000000000007E-2</v>
      </c>
      <c r="U11">
        <v>0.59</v>
      </c>
      <c r="V11">
        <v>0.54</v>
      </c>
      <c r="W11">
        <v>30</v>
      </c>
      <c r="X11">
        <v>10</v>
      </c>
      <c r="Y11" s="10">
        <v>3.2521351219999999</v>
      </c>
      <c r="Z11" s="10">
        <v>0</v>
      </c>
      <c r="AA11" s="10">
        <v>1.2278597550000001</v>
      </c>
      <c r="AB11" s="10">
        <v>5.9578977010000003</v>
      </c>
      <c r="AC11" s="10">
        <v>1.2118326720000001</v>
      </c>
      <c r="AD11" s="10">
        <v>8.8358474559999998</v>
      </c>
      <c r="AE11" s="10">
        <v>1.0069329490000001</v>
      </c>
      <c r="AF11" s="10">
        <v>9.9219268219999996</v>
      </c>
      <c r="AG11" s="10">
        <v>0</v>
      </c>
      <c r="AH11" s="10">
        <v>12.59928315</v>
      </c>
    </row>
    <row r="12" spans="1:34" x14ac:dyDescent="0.3">
      <c r="A12" t="s">
        <v>97</v>
      </c>
      <c r="B12">
        <v>7000</v>
      </c>
      <c r="C12">
        <v>47</v>
      </c>
      <c r="D12">
        <v>20.5</v>
      </c>
      <c r="E12">
        <v>15</v>
      </c>
      <c r="F12">
        <v>10.15</v>
      </c>
      <c r="G12">
        <v>5</v>
      </c>
      <c r="H12">
        <v>0.35</v>
      </c>
      <c r="I12">
        <v>51.7</v>
      </c>
      <c r="J12">
        <v>34.200000000000003</v>
      </c>
      <c r="K12">
        <v>10.933050890000001</v>
      </c>
      <c r="L12" s="19">
        <f t="shared" si="0"/>
        <v>8.5799999963076932</v>
      </c>
      <c r="M12">
        <v>18.004446309999999</v>
      </c>
      <c r="N12" s="19">
        <f t="shared" si="1"/>
        <v>10.119999998282127</v>
      </c>
      <c r="O12">
        <v>0</v>
      </c>
      <c r="P12">
        <v>0</v>
      </c>
      <c r="Q12">
        <v>1.2</v>
      </c>
      <c r="R12">
        <v>0.6</v>
      </c>
      <c r="S12">
        <v>0.05</v>
      </c>
      <c r="T12">
        <v>7.0000000000000007E-2</v>
      </c>
      <c r="U12">
        <v>0.59</v>
      </c>
      <c r="V12">
        <v>0.54</v>
      </c>
      <c r="W12">
        <v>30</v>
      </c>
      <c r="X12">
        <v>10</v>
      </c>
      <c r="Y12" s="10">
        <v>10.195098809999999</v>
      </c>
      <c r="Z12" s="10">
        <v>0</v>
      </c>
      <c r="AA12" s="10">
        <v>5.1329300919999996</v>
      </c>
      <c r="AB12" s="10">
        <v>8.9002468970000006</v>
      </c>
      <c r="AC12" s="10">
        <v>3.637645048</v>
      </c>
      <c r="AD12" s="10">
        <v>16.91610678</v>
      </c>
      <c r="AE12" s="10">
        <v>2.749885146</v>
      </c>
      <c r="AF12" s="10">
        <v>19.15248149</v>
      </c>
      <c r="AG12" s="10">
        <v>0</v>
      </c>
      <c r="AH12" s="10">
        <v>22.951750130000001</v>
      </c>
    </row>
    <row r="13" spans="1:34" x14ac:dyDescent="0.3">
      <c r="A13" t="s">
        <v>97</v>
      </c>
      <c r="B13">
        <v>6000</v>
      </c>
      <c r="C13">
        <v>47</v>
      </c>
      <c r="D13">
        <v>20.5</v>
      </c>
      <c r="E13">
        <v>15</v>
      </c>
      <c r="F13">
        <v>10.15</v>
      </c>
      <c r="G13">
        <v>5</v>
      </c>
      <c r="H13">
        <v>0.35</v>
      </c>
      <c r="I13">
        <v>51.7</v>
      </c>
      <c r="J13">
        <v>34.200000000000003</v>
      </c>
      <c r="K13">
        <v>10.933050890000001</v>
      </c>
      <c r="L13" s="19">
        <f t="shared" si="0"/>
        <v>8.5799999963076932</v>
      </c>
      <c r="M13">
        <v>18.004446309999999</v>
      </c>
      <c r="N13" s="19">
        <f t="shared" si="1"/>
        <v>10.119999998282127</v>
      </c>
      <c r="O13">
        <v>0</v>
      </c>
      <c r="P13">
        <v>0</v>
      </c>
      <c r="Q13">
        <v>1.2</v>
      </c>
      <c r="R13">
        <v>0.6</v>
      </c>
      <c r="S13">
        <v>0.05</v>
      </c>
      <c r="T13">
        <v>7.0000000000000007E-2</v>
      </c>
      <c r="U13">
        <v>0.59</v>
      </c>
      <c r="V13">
        <v>0.54</v>
      </c>
      <c r="W13">
        <v>30</v>
      </c>
      <c r="X13">
        <v>10</v>
      </c>
      <c r="Y13" s="10">
        <v>7.4902766789999999</v>
      </c>
      <c r="Z13" s="10">
        <v>0</v>
      </c>
      <c r="AA13" s="10">
        <v>3.7711323129999998</v>
      </c>
      <c r="AB13" s="10">
        <v>7.6287830550000004</v>
      </c>
      <c r="AC13" s="10">
        <v>2.6725555449999998</v>
      </c>
      <c r="AD13" s="10">
        <v>14.499520090000001</v>
      </c>
      <c r="AE13" s="10">
        <v>2.0203237810000001</v>
      </c>
      <c r="AF13" s="10">
        <v>16.416412699999999</v>
      </c>
      <c r="AG13" s="10">
        <v>0</v>
      </c>
      <c r="AH13" s="10">
        <v>19.672928689999999</v>
      </c>
    </row>
    <row r="14" spans="1:34" x14ac:dyDescent="0.3">
      <c r="A14" t="s">
        <v>97</v>
      </c>
      <c r="B14">
        <v>5000</v>
      </c>
      <c r="C14">
        <v>47</v>
      </c>
      <c r="D14">
        <v>20.5</v>
      </c>
      <c r="E14">
        <v>15</v>
      </c>
      <c r="F14">
        <v>10.15</v>
      </c>
      <c r="G14">
        <v>5</v>
      </c>
      <c r="H14">
        <v>0.35</v>
      </c>
      <c r="I14">
        <v>51.7</v>
      </c>
      <c r="J14">
        <v>34.200000000000003</v>
      </c>
      <c r="K14">
        <v>10.933050890000001</v>
      </c>
      <c r="L14" s="19">
        <f t="shared" si="0"/>
        <v>8.5799999963076932</v>
      </c>
      <c r="M14">
        <v>18.004446309999999</v>
      </c>
      <c r="N14" s="19">
        <f t="shared" si="1"/>
        <v>10.119999998282127</v>
      </c>
      <c r="O14">
        <v>0</v>
      </c>
      <c r="P14">
        <v>0</v>
      </c>
      <c r="Q14">
        <v>1.2</v>
      </c>
      <c r="R14">
        <v>0.6</v>
      </c>
      <c r="S14">
        <v>0.05</v>
      </c>
      <c r="T14">
        <v>7.0000000000000007E-2</v>
      </c>
      <c r="U14">
        <v>0.59</v>
      </c>
      <c r="V14">
        <v>0.54</v>
      </c>
      <c r="W14">
        <v>30</v>
      </c>
      <c r="X14">
        <v>10</v>
      </c>
      <c r="Y14" s="10">
        <v>5.2015810269999996</v>
      </c>
      <c r="Z14" s="10">
        <v>0</v>
      </c>
      <c r="AA14" s="10">
        <v>2.6188418840000001</v>
      </c>
      <c r="AB14" s="10">
        <v>6.3573192120000002</v>
      </c>
      <c r="AC14" s="10">
        <v>1.855941351</v>
      </c>
      <c r="AD14" s="10">
        <v>12.082933410000001</v>
      </c>
      <c r="AE14" s="10">
        <v>1.4030026259999999</v>
      </c>
      <c r="AF14" s="10">
        <v>13.68034392</v>
      </c>
      <c r="AG14" s="10">
        <v>0</v>
      </c>
      <c r="AH14" s="10">
        <v>16.39410724</v>
      </c>
    </row>
    <row r="15" spans="1:34" x14ac:dyDescent="0.3">
      <c r="A15" t="s">
        <v>97</v>
      </c>
      <c r="B15">
        <v>4000</v>
      </c>
      <c r="C15">
        <v>47</v>
      </c>
      <c r="D15">
        <v>20.5</v>
      </c>
      <c r="E15">
        <v>15</v>
      </c>
      <c r="F15">
        <v>10.15</v>
      </c>
      <c r="G15">
        <v>5</v>
      </c>
      <c r="H15">
        <v>0.35</v>
      </c>
      <c r="I15">
        <v>51.7</v>
      </c>
      <c r="J15">
        <v>34.200000000000003</v>
      </c>
      <c r="K15">
        <v>10.933050890000001</v>
      </c>
      <c r="L15" s="19">
        <f t="shared" si="0"/>
        <v>8.5799999963076932</v>
      </c>
      <c r="M15">
        <v>18.004446309999999</v>
      </c>
      <c r="N15" s="19">
        <f t="shared" si="1"/>
        <v>10.119999998282127</v>
      </c>
      <c r="O15">
        <v>0</v>
      </c>
      <c r="P15">
        <v>0</v>
      </c>
      <c r="Q15">
        <v>1.2</v>
      </c>
      <c r="R15">
        <v>0.6</v>
      </c>
      <c r="S15">
        <v>0.05</v>
      </c>
      <c r="T15">
        <v>7.0000000000000007E-2</v>
      </c>
      <c r="U15">
        <v>0.59</v>
      </c>
      <c r="V15">
        <v>0.54</v>
      </c>
      <c r="W15">
        <v>30</v>
      </c>
      <c r="X15">
        <v>10</v>
      </c>
      <c r="Y15" s="10">
        <v>3.3290118569999998</v>
      </c>
      <c r="Z15" s="10">
        <v>0</v>
      </c>
      <c r="AA15" s="10">
        <v>1.6760588059999999</v>
      </c>
      <c r="AB15" s="10">
        <v>5.08585537</v>
      </c>
      <c r="AC15" s="10">
        <v>1.1878024650000001</v>
      </c>
      <c r="AD15" s="10">
        <v>9.6663467290000007</v>
      </c>
      <c r="AE15" s="10">
        <v>0.89792168000000006</v>
      </c>
      <c r="AF15" s="10">
        <v>10.94427514</v>
      </c>
      <c r="AG15" s="10">
        <v>0</v>
      </c>
      <c r="AH15" s="10">
        <v>13.11528579</v>
      </c>
    </row>
    <row r="16" spans="1:34" x14ac:dyDescent="0.3">
      <c r="A16" t="s">
        <v>98</v>
      </c>
      <c r="B16">
        <v>8000</v>
      </c>
      <c r="C16">
        <v>47</v>
      </c>
      <c r="D16">
        <v>24.8</v>
      </c>
      <c r="E16">
        <v>15</v>
      </c>
      <c r="F16">
        <v>9.9</v>
      </c>
      <c r="G16">
        <v>5</v>
      </c>
      <c r="H16">
        <v>0.5</v>
      </c>
      <c r="I16">
        <v>42.5</v>
      </c>
      <c r="J16">
        <v>33.6</v>
      </c>
      <c r="K16">
        <v>13.617722540000001</v>
      </c>
      <c r="L16" s="19">
        <f t="shared" si="0"/>
        <v>9.1999999980510552</v>
      </c>
      <c r="M16">
        <v>17.708980220000001</v>
      </c>
      <c r="N16" s="19">
        <f t="shared" si="1"/>
        <v>9.7999999994655376</v>
      </c>
      <c r="O16">
        <v>-1.3149999999999999</v>
      </c>
      <c r="P16">
        <v>-1</v>
      </c>
      <c r="Q16">
        <v>1.1000000000000001</v>
      </c>
      <c r="R16">
        <v>0.6</v>
      </c>
      <c r="S16">
        <v>0.03</v>
      </c>
      <c r="T16">
        <v>0.05</v>
      </c>
      <c r="U16">
        <v>0.6</v>
      </c>
      <c r="V16">
        <v>0.35</v>
      </c>
      <c r="W16">
        <v>25</v>
      </c>
      <c r="X16">
        <v>45</v>
      </c>
      <c r="Y16" s="10">
        <v>12.94815547</v>
      </c>
      <c r="Z16" s="10">
        <v>0</v>
      </c>
      <c r="AA16" s="10">
        <v>4.785170344</v>
      </c>
      <c r="AB16" s="10">
        <v>9.6699369609999994</v>
      </c>
      <c r="AC16" s="10">
        <v>4.0229122720000001</v>
      </c>
      <c r="AD16" s="10">
        <v>11.74517756</v>
      </c>
      <c r="AE16" s="10">
        <v>3.9704918189999998</v>
      </c>
      <c r="AF16" s="10">
        <v>15.68749004</v>
      </c>
      <c r="AG16" s="10">
        <v>0</v>
      </c>
      <c r="AH16" s="10">
        <v>20.70371403</v>
      </c>
    </row>
    <row r="17" spans="1:34" x14ac:dyDescent="0.3">
      <c r="A17" t="s">
        <v>98</v>
      </c>
      <c r="B17">
        <v>7000</v>
      </c>
      <c r="C17">
        <v>47</v>
      </c>
      <c r="D17">
        <v>24.8</v>
      </c>
      <c r="E17">
        <v>15</v>
      </c>
      <c r="F17">
        <v>9.9</v>
      </c>
      <c r="G17">
        <v>5</v>
      </c>
      <c r="H17">
        <v>0.5</v>
      </c>
      <c r="I17">
        <v>42.5</v>
      </c>
      <c r="J17">
        <v>33.6</v>
      </c>
      <c r="K17">
        <v>13.617722540000001</v>
      </c>
      <c r="L17" s="19">
        <f t="shared" si="0"/>
        <v>9.1999999980510552</v>
      </c>
      <c r="M17">
        <v>17.708980220000001</v>
      </c>
      <c r="N17" s="19">
        <f t="shared" si="1"/>
        <v>9.7999999994655376</v>
      </c>
      <c r="O17">
        <v>-1.3149999999999999</v>
      </c>
      <c r="P17">
        <v>-1</v>
      </c>
      <c r="Q17">
        <v>1.1000000000000001</v>
      </c>
      <c r="R17">
        <v>0.6</v>
      </c>
      <c r="S17">
        <v>0.03</v>
      </c>
      <c r="T17">
        <v>0.05</v>
      </c>
      <c r="U17">
        <v>0.6</v>
      </c>
      <c r="V17">
        <v>0.35</v>
      </c>
      <c r="W17">
        <v>25</v>
      </c>
      <c r="X17">
        <v>45</v>
      </c>
      <c r="Y17" s="10">
        <v>9.9134315280000003</v>
      </c>
      <c r="Z17" s="10">
        <v>0</v>
      </c>
      <c r="AA17" s="10">
        <v>3.6636460450000001</v>
      </c>
      <c r="AB17" s="10">
        <v>8.4611948409999993</v>
      </c>
      <c r="AC17" s="10">
        <v>3.0800422080000001</v>
      </c>
      <c r="AD17" s="10">
        <v>10.277030359999999</v>
      </c>
      <c r="AE17" s="10">
        <v>3.0399077989999999</v>
      </c>
      <c r="AF17" s="10">
        <v>13.726553790000001</v>
      </c>
      <c r="AG17" s="10">
        <v>0</v>
      </c>
      <c r="AH17" s="10">
        <v>18.115749770000001</v>
      </c>
    </row>
    <row r="18" spans="1:34" x14ac:dyDescent="0.3">
      <c r="A18" t="s">
        <v>99</v>
      </c>
      <c r="B18">
        <v>6000</v>
      </c>
      <c r="C18">
        <v>47</v>
      </c>
      <c r="D18">
        <v>24.8</v>
      </c>
      <c r="E18">
        <v>15</v>
      </c>
      <c r="F18">
        <v>9.9</v>
      </c>
      <c r="G18">
        <v>5</v>
      </c>
      <c r="H18">
        <v>0.5</v>
      </c>
      <c r="I18">
        <v>42.5</v>
      </c>
      <c r="J18">
        <v>33.6</v>
      </c>
      <c r="K18">
        <v>13.617722540000001</v>
      </c>
      <c r="L18" s="19">
        <f t="shared" si="0"/>
        <v>9.1999999980510552</v>
      </c>
      <c r="M18">
        <v>17.708980220000001</v>
      </c>
      <c r="N18" s="19">
        <f t="shared" si="1"/>
        <v>9.7999999994655376</v>
      </c>
      <c r="O18">
        <v>-1.3149999999999999</v>
      </c>
      <c r="P18">
        <v>-1</v>
      </c>
      <c r="Q18">
        <v>1.1000000000000001</v>
      </c>
      <c r="R18">
        <v>0.6</v>
      </c>
      <c r="S18">
        <v>0.03</v>
      </c>
      <c r="T18">
        <v>0.05</v>
      </c>
      <c r="U18">
        <v>0.6</v>
      </c>
      <c r="V18">
        <v>0.35</v>
      </c>
      <c r="W18">
        <v>25</v>
      </c>
      <c r="X18">
        <v>45</v>
      </c>
      <c r="Y18" s="10">
        <v>7.2833374490000002</v>
      </c>
      <c r="Z18" s="10">
        <v>0</v>
      </c>
      <c r="AA18" s="10">
        <v>2.6916583190000001</v>
      </c>
      <c r="AB18" s="10">
        <v>7.252452721</v>
      </c>
      <c r="AC18" s="10">
        <v>2.262888153</v>
      </c>
      <c r="AD18" s="10">
        <v>8.8088831669999994</v>
      </c>
      <c r="AE18" s="10">
        <v>2.2334016480000001</v>
      </c>
      <c r="AF18" s="10">
        <v>11.76561753</v>
      </c>
      <c r="AG18" s="10">
        <v>0</v>
      </c>
      <c r="AH18" s="10">
        <v>15.52778552</v>
      </c>
    </row>
    <row r="19" spans="1:34" x14ac:dyDescent="0.3">
      <c r="A19" t="s">
        <v>99</v>
      </c>
      <c r="B19">
        <v>5000</v>
      </c>
      <c r="C19">
        <v>47</v>
      </c>
      <c r="D19">
        <v>24.8</v>
      </c>
      <c r="E19">
        <v>15</v>
      </c>
      <c r="F19">
        <v>9.9</v>
      </c>
      <c r="G19">
        <v>5</v>
      </c>
      <c r="H19">
        <v>0.5</v>
      </c>
      <c r="I19">
        <v>42.5</v>
      </c>
      <c r="J19">
        <v>33.6</v>
      </c>
      <c r="K19">
        <v>13.617722540000001</v>
      </c>
      <c r="L19" s="19">
        <f t="shared" si="0"/>
        <v>9.1999999980510552</v>
      </c>
      <c r="M19">
        <v>17.708980220000001</v>
      </c>
      <c r="N19" s="19">
        <f t="shared" si="1"/>
        <v>9.7999999994655376</v>
      </c>
      <c r="O19">
        <v>-1.3149999999999999</v>
      </c>
      <c r="P19">
        <v>-1</v>
      </c>
      <c r="Q19">
        <v>1.1000000000000001</v>
      </c>
      <c r="R19">
        <v>0.6</v>
      </c>
      <c r="S19">
        <v>0.03</v>
      </c>
      <c r="T19">
        <v>0.05</v>
      </c>
      <c r="U19">
        <v>0.6</v>
      </c>
      <c r="V19">
        <v>0.35</v>
      </c>
      <c r="W19">
        <v>25</v>
      </c>
      <c r="X19">
        <v>45</v>
      </c>
      <c r="Y19" s="10">
        <v>5.0578732290000001</v>
      </c>
      <c r="Z19" s="10">
        <v>0</v>
      </c>
      <c r="AA19" s="10">
        <v>1.869207166</v>
      </c>
      <c r="AB19" s="10">
        <v>6.0437106009999999</v>
      </c>
      <c r="AC19" s="10">
        <v>1.5714501059999999</v>
      </c>
      <c r="AD19" s="10">
        <v>7.3407359730000001</v>
      </c>
      <c r="AE19" s="10">
        <v>1.5509733670000001</v>
      </c>
      <c r="AF19" s="10">
        <v>9.8046812760000002</v>
      </c>
      <c r="AG19" s="10">
        <v>0</v>
      </c>
      <c r="AH19" s="10">
        <v>12.939821269999999</v>
      </c>
    </row>
    <row r="20" spans="1:34" x14ac:dyDescent="0.3">
      <c r="A20" t="s">
        <v>99</v>
      </c>
      <c r="B20">
        <v>4000</v>
      </c>
      <c r="C20">
        <v>47</v>
      </c>
      <c r="D20">
        <v>24.8</v>
      </c>
      <c r="E20">
        <v>15</v>
      </c>
      <c r="F20">
        <v>9.9</v>
      </c>
      <c r="G20">
        <v>5</v>
      </c>
      <c r="H20">
        <v>0.5</v>
      </c>
      <c r="I20">
        <v>42.5</v>
      </c>
      <c r="J20">
        <v>33.6</v>
      </c>
      <c r="K20">
        <v>13.617722540000001</v>
      </c>
      <c r="L20" s="19">
        <f t="shared" si="0"/>
        <v>9.1999999980510552</v>
      </c>
      <c r="M20">
        <v>17.708980220000001</v>
      </c>
      <c r="N20" s="19">
        <f t="shared" si="1"/>
        <v>9.7999999994655376</v>
      </c>
      <c r="O20">
        <v>-1.3149999999999999</v>
      </c>
      <c r="P20">
        <v>-1</v>
      </c>
      <c r="Q20">
        <v>1.1000000000000001</v>
      </c>
      <c r="R20">
        <v>0.6</v>
      </c>
      <c r="S20">
        <v>0.03</v>
      </c>
      <c r="T20">
        <v>0.05</v>
      </c>
      <c r="U20">
        <v>0.6</v>
      </c>
      <c r="V20">
        <v>0.35</v>
      </c>
      <c r="W20">
        <v>25</v>
      </c>
      <c r="X20">
        <v>45</v>
      </c>
      <c r="Y20" s="10">
        <v>3.2370388659999998</v>
      </c>
      <c r="Z20" s="10">
        <v>0</v>
      </c>
      <c r="AA20" s="10">
        <v>1.196292586</v>
      </c>
      <c r="AB20" s="10">
        <v>4.8349684809999998</v>
      </c>
      <c r="AC20" s="10">
        <v>1.005728068</v>
      </c>
      <c r="AD20" s="10">
        <v>5.8725887779999999</v>
      </c>
      <c r="AE20" s="10">
        <v>0.99262295499999997</v>
      </c>
      <c r="AF20" s="10">
        <v>7.8437450210000002</v>
      </c>
      <c r="AG20" s="10">
        <v>0</v>
      </c>
      <c r="AH20" s="10">
        <v>10.35185701</v>
      </c>
    </row>
    <row r="21" spans="1:34" x14ac:dyDescent="0.3">
      <c r="A21" t="s">
        <v>100</v>
      </c>
      <c r="B21">
        <v>8000</v>
      </c>
      <c r="C21">
        <v>47</v>
      </c>
      <c r="D21">
        <v>24.8</v>
      </c>
      <c r="E21">
        <v>15</v>
      </c>
      <c r="F21">
        <v>9.9</v>
      </c>
      <c r="G21">
        <v>7</v>
      </c>
      <c r="H21">
        <v>0.5</v>
      </c>
      <c r="I21">
        <v>42.5</v>
      </c>
      <c r="J21">
        <v>33.6</v>
      </c>
      <c r="K21">
        <v>13.617722540000001</v>
      </c>
      <c r="L21" s="19">
        <f t="shared" si="0"/>
        <v>9.1999999980510552</v>
      </c>
      <c r="M21">
        <v>17.708980220000001</v>
      </c>
      <c r="N21" s="19">
        <f t="shared" si="1"/>
        <v>9.7999999994655376</v>
      </c>
      <c r="O21">
        <v>-1.3149999999999999</v>
      </c>
      <c r="P21">
        <v>-1</v>
      </c>
      <c r="Q21">
        <v>1.1000000000000001</v>
      </c>
      <c r="R21">
        <v>0.6</v>
      </c>
      <c r="S21">
        <v>0.03</v>
      </c>
      <c r="T21">
        <v>0.05</v>
      </c>
      <c r="U21">
        <v>0.6</v>
      </c>
      <c r="V21">
        <v>0.35</v>
      </c>
      <c r="W21">
        <v>25</v>
      </c>
      <c r="X21">
        <v>45</v>
      </c>
      <c r="Y21" s="10">
        <v>13.89562055</v>
      </c>
      <c r="Z21" s="10">
        <v>0</v>
      </c>
      <c r="AA21" s="10">
        <v>4.0632872229999997</v>
      </c>
      <c r="AB21" s="10">
        <v>10.50000541</v>
      </c>
      <c r="AC21" s="10">
        <v>3.801508449</v>
      </c>
      <c r="AD21" s="10">
        <v>13.243744019999999</v>
      </c>
      <c r="AE21" s="10">
        <v>3.174427578</v>
      </c>
      <c r="AF21" s="10">
        <v>17.288354949999999</v>
      </c>
      <c r="AG21" s="10">
        <v>0</v>
      </c>
      <c r="AH21" s="10">
        <v>21.1</v>
      </c>
    </row>
    <row r="22" spans="1:34" x14ac:dyDescent="0.3">
      <c r="A22" t="s">
        <v>100</v>
      </c>
      <c r="B22">
        <v>7000</v>
      </c>
      <c r="C22">
        <v>47</v>
      </c>
      <c r="D22">
        <v>24.8</v>
      </c>
      <c r="E22">
        <v>15</v>
      </c>
      <c r="F22">
        <v>9.9</v>
      </c>
      <c r="G22">
        <v>7</v>
      </c>
      <c r="H22">
        <v>0.5</v>
      </c>
      <c r="I22">
        <v>42.5</v>
      </c>
      <c r="J22">
        <v>33.6</v>
      </c>
      <c r="K22">
        <v>13.617722540000001</v>
      </c>
      <c r="L22" s="19">
        <f t="shared" si="0"/>
        <v>9.1999999980510552</v>
      </c>
      <c r="M22">
        <v>17.708980220000001</v>
      </c>
      <c r="N22" s="19">
        <f t="shared" si="1"/>
        <v>9.7999999994655376</v>
      </c>
      <c r="O22">
        <v>-1.3149999999999999</v>
      </c>
      <c r="P22">
        <v>-1</v>
      </c>
      <c r="Q22">
        <v>1.1000000000000001</v>
      </c>
      <c r="R22">
        <v>0.6</v>
      </c>
      <c r="S22">
        <v>0.03</v>
      </c>
      <c r="T22">
        <v>0.05</v>
      </c>
      <c r="U22">
        <v>0.6</v>
      </c>
      <c r="V22">
        <v>0.35</v>
      </c>
      <c r="W22">
        <v>25</v>
      </c>
      <c r="X22">
        <v>45</v>
      </c>
      <c r="Y22" s="10">
        <v>10.63883448</v>
      </c>
      <c r="Z22" s="10">
        <v>0</v>
      </c>
      <c r="AA22" s="10">
        <v>3.1109542800000001</v>
      </c>
      <c r="AB22" s="10">
        <v>9.1875047379999994</v>
      </c>
      <c r="AC22" s="10">
        <v>2.9105299059999998</v>
      </c>
      <c r="AD22" s="10">
        <v>11.58827602</v>
      </c>
      <c r="AE22" s="10">
        <v>2.430421114</v>
      </c>
      <c r="AF22" s="10">
        <v>15.12731058</v>
      </c>
      <c r="AG22" s="10">
        <v>0</v>
      </c>
      <c r="AH22" s="10">
        <v>18.462499999999999</v>
      </c>
    </row>
    <row r="23" spans="1:34" x14ac:dyDescent="0.3">
      <c r="A23" t="s">
        <v>101</v>
      </c>
      <c r="B23">
        <v>6000</v>
      </c>
      <c r="C23">
        <v>47</v>
      </c>
      <c r="D23">
        <v>24.8</v>
      </c>
      <c r="E23">
        <v>15</v>
      </c>
      <c r="F23">
        <v>9.9</v>
      </c>
      <c r="G23">
        <v>7</v>
      </c>
      <c r="H23">
        <v>0.5</v>
      </c>
      <c r="I23">
        <v>42.5</v>
      </c>
      <c r="J23">
        <v>33.6</v>
      </c>
      <c r="K23">
        <v>13.617722540000001</v>
      </c>
      <c r="L23" s="19">
        <f t="shared" si="0"/>
        <v>9.1999999980510552</v>
      </c>
      <c r="M23">
        <v>17.708980220000001</v>
      </c>
      <c r="N23" s="19">
        <f t="shared" si="1"/>
        <v>9.7999999994655376</v>
      </c>
      <c r="O23">
        <v>-1.3149999999999999</v>
      </c>
      <c r="P23">
        <v>-1</v>
      </c>
      <c r="Q23">
        <v>1.1000000000000001</v>
      </c>
      <c r="R23">
        <v>0.6</v>
      </c>
      <c r="S23">
        <v>0.03</v>
      </c>
      <c r="T23">
        <v>0.05</v>
      </c>
      <c r="U23">
        <v>0.6</v>
      </c>
      <c r="V23">
        <v>0.35</v>
      </c>
      <c r="W23">
        <v>25</v>
      </c>
      <c r="X23">
        <v>45</v>
      </c>
      <c r="Y23" s="10">
        <v>7.8162865569999997</v>
      </c>
      <c r="Z23" s="10">
        <v>0</v>
      </c>
      <c r="AA23" s="10">
        <v>2.2855990629999998</v>
      </c>
      <c r="AB23" s="10">
        <v>7.8750040610000003</v>
      </c>
      <c r="AC23" s="10">
        <v>2.1383485019999999</v>
      </c>
      <c r="AD23" s="10">
        <v>9.9328080159999992</v>
      </c>
      <c r="AE23" s="10">
        <v>1.785615513</v>
      </c>
      <c r="AF23" s="10">
        <v>12.966266210000001</v>
      </c>
      <c r="AG23" s="10">
        <v>0</v>
      </c>
      <c r="AH23" s="10">
        <v>15.824999999999999</v>
      </c>
    </row>
    <row r="24" spans="1:34" x14ac:dyDescent="0.3">
      <c r="A24" t="s">
        <v>101</v>
      </c>
      <c r="B24">
        <v>5000</v>
      </c>
      <c r="C24">
        <v>47</v>
      </c>
      <c r="D24">
        <v>24.8</v>
      </c>
      <c r="E24">
        <v>15</v>
      </c>
      <c r="F24">
        <v>9.9</v>
      </c>
      <c r="G24">
        <v>7</v>
      </c>
      <c r="H24">
        <v>0.5</v>
      </c>
      <c r="I24">
        <v>42.5</v>
      </c>
      <c r="J24">
        <v>33.6</v>
      </c>
      <c r="K24">
        <v>13.617722540000001</v>
      </c>
      <c r="L24" s="19">
        <f t="shared" si="0"/>
        <v>9.1999999980510552</v>
      </c>
      <c r="M24">
        <v>17.708980220000001</v>
      </c>
      <c r="N24" s="19">
        <f t="shared" si="1"/>
        <v>9.7999999994655376</v>
      </c>
      <c r="O24">
        <v>-1.3149999999999999</v>
      </c>
      <c r="P24">
        <v>-1</v>
      </c>
      <c r="Q24">
        <v>1.1000000000000001</v>
      </c>
      <c r="R24">
        <v>0.6</v>
      </c>
      <c r="S24">
        <v>0.03</v>
      </c>
      <c r="T24">
        <v>0.05</v>
      </c>
      <c r="U24">
        <v>0.6</v>
      </c>
      <c r="V24">
        <v>0.35</v>
      </c>
      <c r="W24">
        <v>25</v>
      </c>
      <c r="X24">
        <v>45</v>
      </c>
      <c r="Y24" s="10">
        <v>5.4279767760000004</v>
      </c>
      <c r="Z24" s="10">
        <v>0</v>
      </c>
      <c r="AA24" s="10">
        <v>1.587221572</v>
      </c>
      <c r="AB24" s="10">
        <v>6.5625033840000002</v>
      </c>
      <c r="AC24" s="10">
        <v>1.4849642380000001</v>
      </c>
      <c r="AD24" s="10">
        <v>8.2773400129999999</v>
      </c>
      <c r="AE24" s="10">
        <v>1.2400107730000001</v>
      </c>
      <c r="AF24" s="10">
        <v>10.805221850000001</v>
      </c>
      <c r="AG24" s="10">
        <v>0</v>
      </c>
      <c r="AH24" s="10">
        <v>13.1875</v>
      </c>
    </row>
    <row r="25" spans="1:34" x14ac:dyDescent="0.3">
      <c r="A25" t="s">
        <v>101</v>
      </c>
      <c r="B25">
        <v>4000</v>
      </c>
      <c r="C25">
        <v>47</v>
      </c>
      <c r="D25">
        <v>24.8</v>
      </c>
      <c r="E25">
        <v>15</v>
      </c>
      <c r="F25">
        <v>9.9</v>
      </c>
      <c r="G25">
        <v>7</v>
      </c>
      <c r="H25">
        <v>0.5</v>
      </c>
      <c r="I25">
        <v>42.5</v>
      </c>
      <c r="J25">
        <v>33.6</v>
      </c>
      <c r="K25">
        <v>13.617722540000001</v>
      </c>
      <c r="L25" s="19">
        <f t="shared" si="0"/>
        <v>9.1999999980510552</v>
      </c>
      <c r="M25">
        <v>17.708980220000001</v>
      </c>
      <c r="N25" s="19">
        <f t="shared" si="1"/>
        <v>9.7999999994655376</v>
      </c>
      <c r="O25">
        <v>-1.3149999999999999</v>
      </c>
      <c r="P25">
        <v>-1</v>
      </c>
      <c r="Q25">
        <v>1.1000000000000001</v>
      </c>
      <c r="R25">
        <v>0.6</v>
      </c>
      <c r="S25">
        <v>0.03</v>
      </c>
      <c r="T25">
        <v>0.05</v>
      </c>
      <c r="U25">
        <v>0.6</v>
      </c>
      <c r="V25">
        <v>0.35</v>
      </c>
      <c r="W25">
        <v>25</v>
      </c>
      <c r="X25">
        <v>45</v>
      </c>
      <c r="Y25" s="10">
        <v>3.473905137</v>
      </c>
      <c r="Z25" s="10">
        <v>0</v>
      </c>
      <c r="AA25" s="10">
        <v>1.0158218059999999</v>
      </c>
      <c r="AB25" s="10">
        <v>5.2500027070000002</v>
      </c>
      <c r="AC25" s="10">
        <v>0.95037711199999997</v>
      </c>
      <c r="AD25" s="10">
        <v>6.6218720109999998</v>
      </c>
      <c r="AE25" s="10">
        <v>0.79360689500000003</v>
      </c>
      <c r="AF25" s="10">
        <v>8.6441774759999994</v>
      </c>
      <c r="AG25" s="10">
        <v>0</v>
      </c>
      <c r="AH25" s="10">
        <v>10.55</v>
      </c>
    </row>
    <row r="26" spans="1:34" x14ac:dyDescent="0.3">
      <c r="A26" t="s">
        <v>102</v>
      </c>
      <c r="B26">
        <v>7000</v>
      </c>
      <c r="C26">
        <v>47</v>
      </c>
      <c r="D26">
        <v>24.75</v>
      </c>
      <c r="E26">
        <v>20</v>
      </c>
      <c r="F26">
        <v>11.85</v>
      </c>
      <c r="G26">
        <v>5</v>
      </c>
      <c r="H26">
        <v>0.5</v>
      </c>
      <c r="I26">
        <v>37.5</v>
      </c>
      <c r="J26">
        <v>28.05</v>
      </c>
      <c r="K26">
        <v>18.151609929999999</v>
      </c>
      <c r="L26" s="19">
        <f t="shared" si="0"/>
        <v>11.049999999795684</v>
      </c>
      <c r="M26">
        <v>27.645345880000001</v>
      </c>
      <c r="N26" s="19">
        <f t="shared" si="1"/>
        <v>13.000000002002833</v>
      </c>
      <c r="O26">
        <v>0</v>
      </c>
      <c r="P26">
        <v>1.66</v>
      </c>
      <c r="Q26">
        <v>0.9</v>
      </c>
      <c r="R26">
        <v>0.55000000000000004</v>
      </c>
      <c r="S26">
        <v>3.7999999999999999E-2</v>
      </c>
      <c r="T26">
        <v>0.06</v>
      </c>
      <c r="U26">
        <v>0.3</v>
      </c>
      <c r="V26">
        <v>0.5</v>
      </c>
      <c r="W26">
        <v>45</v>
      </c>
      <c r="X26">
        <v>0.05</v>
      </c>
      <c r="Y26" s="10">
        <v>12.35380378</v>
      </c>
      <c r="Z26" s="10">
        <v>0</v>
      </c>
      <c r="AA26" s="10">
        <v>3.8624950189999998</v>
      </c>
      <c r="AB26" s="10">
        <v>8.7585082829999994</v>
      </c>
      <c r="AC26" s="10">
        <v>3.3300730010000001</v>
      </c>
      <c r="AD26" s="10">
        <v>12.392047099999999</v>
      </c>
      <c r="AE26" s="10">
        <v>2.614161787</v>
      </c>
      <c r="AF26" s="10">
        <v>14.59395728</v>
      </c>
      <c r="AG26" s="10">
        <v>0</v>
      </c>
      <c r="AH26" s="10">
        <v>17.718871</v>
      </c>
    </row>
    <row r="27" spans="1:34" x14ac:dyDescent="0.3">
      <c r="A27" t="s">
        <v>102</v>
      </c>
      <c r="B27">
        <v>6000</v>
      </c>
      <c r="C27">
        <v>47</v>
      </c>
      <c r="D27">
        <v>24.75</v>
      </c>
      <c r="E27">
        <v>20</v>
      </c>
      <c r="F27">
        <v>11.85</v>
      </c>
      <c r="G27">
        <v>5</v>
      </c>
      <c r="H27">
        <v>0.5</v>
      </c>
      <c r="I27">
        <v>37.5</v>
      </c>
      <c r="J27">
        <v>28.05</v>
      </c>
      <c r="K27">
        <v>18.151609929999999</v>
      </c>
      <c r="L27" s="19">
        <f t="shared" si="0"/>
        <v>11.049999999795684</v>
      </c>
      <c r="M27">
        <v>27.645345880000001</v>
      </c>
      <c r="N27" s="19">
        <f t="shared" si="1"/>
        <v>13.000000002002833</v>
      </c>
      <c r="O27">
        <v>0</v>
      </c>
      <c r="P27">
        <v>1.66</v>
      </c>
      <c r="Q27">
        <v>0.9</v>
      </c>
      <c r="R27">
        <v>0.55000000000000004</v>
      </c>
      <c r="S27">
        <v>3.7999999999999999E-2</v>
      </c>
      <c r="T27">
        <v>0.06</v>
      </c>
      <c r="U27">
        <v>0.3</v>
      </c>
      <c r="V27">
        <v>0.5</v>
      </c>
      <c r="W27">
        <v>45</v>
      </c>
      <c r="X27">
        <v>0.05</v>
      </c>
      <c r="Y27" s="10">
        <v>9.0762640050000005</v>
      </c>
      <c r="Z27" s="10">
        <v>0</v>
      </c>
      <c r="AA27" s="10">
        <v>2.8377514420000001</v>
      </c>
      <c r="AB27" s="10">
        <v>7.5072928140000004</v>
      </c>
      <c r="AC27" s="10">
        <v>2.446584246</v>
      </c>
      <c r="AD27" s="10">
        <v>10.621754660000001</v>
      </c>
      <c r="AE27" s="10">
        <v>1.9206086600000001</v>
      </c>
      <c r="AF27" s="10">
        <v>12.509106239999999</v>
      </c>
      <c r="AG27" s="10">
        <v>0</v>
      </c>
      <c r="AH27" s="10">
        <v>15.187603709999999</v>
      </c>
    </row>
    <row r="28" spans="1:34" x14ac:dyDescent="0.3">
      <c r="A28" t="s">
        <v>102</v>
      </c>
      <c r="B28">
        <v>5000</v>
      </c>
      <c r="C28">
        <v>47</v>
      </c>
      <c r="D28">
        <v>24.75</v>
      </c>
      <c r="E28">
        <v>20</v>
      </c>
      <c r="F28">
        <v>11.85</v>
      </c>
      <c r="G28">
        <v>5</v>
      </c>
      <c r="H28">
        <v>0.5</v>
      </c>
      <c r="I28">
        <v>37.5</v>
      </c>
      <c r="J28">
        <v>28.05</v>
      </c>
      <c r="K28">
        <v>18.151609929999999</v>
      </c>
      <c r="L28" s="19">
        <f t="shared" si="0"/>
        <v>11.049999999795684</v>
      </c>
      <c r="M28">
        <v>27.645345880000001</v>
      </c>
      <c r="N28" s="19">
        <f t="shared" si="1"/>
        <v>13.000000002002833</v>
      </c>
      <c r="O28">
        <v>0</v>
      </c>
      <c r="P28">
        <v>1.66</v>
      </c>
      <c r="Q28">
        <v>0.9</v>
      </c>
      <c r="R28">
        <v>0.55000000000000004</v>
      </c>
      <c r="S28">
        <v>3.7999999999999999E-2</v>
      </c>
      <c r="T28">
        <v>0.06</v>
      </c>
      <c r="U28">
        <v>0.3</v>
      </c>
      <c r="V28">
        <v>0.5</v>
      </c>
      <c r="W28">
        <v>45</v>
      </c>
      <c r="X28">
        <v>0.05</v>
      </c>
      <c r="Y28" s="10">
        <v>6.3029611140000004</v>
      </c>
      <c r="Z28" s="10">
        <v>0</v>
      </c>
      <c r="AA28" s="10">
        <v>1.970660724</v>
      </c>
      <c r="AB28" s="10">
        <v>6.2560773449999996</v>
      </c>
      <c r="AC28" s="10">
        <v>1.6990168370000001</v>
      </c>
      <c r="AD28" s="10">
        <v>8.851462218</v>
      </c>
      <c r="AE28" s="10">
        <v>1.333756014</v>
      </c>
      <c r="AF28" s="10">
        <v>10.424255199999999</v>
      </c>
      <c r="AG28" s="10">
        <v>0</v>
      </c>
      <c r="AH28" s="10">
        <v>12.65633643</v>
      </c>
    </row>
    <row r="29" spans="1:34" x14ac:dyDescent="0.3">
      <c r="A29" t="s">
        <v>102</v>
      </c>
      <c r="B29">
        <v>4000</v>
      </c>
      <c r="C29">
        <v>47</v>
      </c>
      <c r="D29">
        <v>24.75</v>
      </c>
      <c r="E29">
        <v>20</v>
      </c>
      <c r="F29">
        <v>11.85</v>
      </c>
      <c r="G29">
        <v>5</v>
      </c>
      <c r="H29">
        <v>0.5</v>
      </c>
      <c r="I29">
        <v>37.5</v>
      </c>
      <c r="J29">
        <v>28.05</v>
      </c>
      <c r="K29">
        <v>18.151609929999999</v>
      </c>
      <c r="L29" s="19">
        <f t="shared" si="0"/>
        <v>11.049999999795684</v>
      </c>
      <c r="M29">
        <v>27.645345880000001</v>
      </c>
      <c r="N29" s="19">
        <f t="shared" si="1"/>
        <v>13.000000002002833</v>
      </c>
      <c r="O29">
        <v>0</v>
      </c>
      <c r="P29">
        <v>1.66</v>
      </c>
      <c r="Q29">
        <v>0.9</v>
      </c>
      <c r="R29">
        <v>0.55000000000000004</v>
      </c>
      <c r="S29">
        <v>3.7999999999999999E-2</v>
      </c>
      <c r="T29">
        <v>0.06</v>
      </c>
      <c r="U29">
        <v>0.3</v>
      </c>
      <c r="V29">
        <v>0.5</v>
      </c>
      <c r="W29">
        <v>45</v>
      </c>
      <c r="X29">
        <v>0.05</v>
      </c>
      <c r="Y29" s="10">
        <v>4.0338951129999998</v>
      </c>
      <c r="Z29" s="10">
        <v>0</v>
      </c>
      <c r="AA29" s="10">
        <v>1.261222863</v>
      </c>
      <c r="AB29" s="10">
        <v>5.0048618759999997</v>
      </c>
      <c r="AC29" s="10">
        <v>1.087370776</v>
      </c>
      <c r="AD29" s="10">
        <v>7.0811697740000001</v>
      </c>
      <c r="AE29" s="10">
        <v>0.85360384899999997</v>
      </c>
      <c r="AF29" s="10">
        <v>8.3394041609999991</v>
      </c>
      <c r="AG29" s="10">
        <v>0</v>
      </c>
      <c r="AH29" s="10">
        <v>10.125069140000001</v>
      </c>
    </row>
    <row r="30" spans="1:34" x14ac:dyDescent="0.3">
      <c r="A30" t="s">
        <v>103</v>
      </c>
      <c r="B30">
        <v>7000</v>
      </c>
      <c r="C30">
        <v>47</v>
      </c>
      <c r="D30">
        <v>24.75</v>
      </c>
      <c r="E30">
        <v>20</v>
      </c>
      <c r="F30">
        <v>11.85</v>
      </c>
      <c r="G30">
        <v>4</v>
      </c>
      <c r="H30">
        <v>0.5</v>
      </c>
      <c r="I30">
        <v>37.5</v>
      </c>
      <c r="J30">
        <v>28.05</v>
      </c>
      <c r="K30">
        <v>18.151609929999999</v>
      </c>
      <c r="L30" s="19">
        <f t="shared" si="0"/>
        <v>11.049999999795684</v>
      </c>
      <c r="M30">
        <v>27.645345880000001</v>
      </c>
      <c r="N30" s="19">
        <f t="shared" si="1"/>
        <v>13.000000002002833</v>
      </c>
      <c r="O30">
        <v>0</v>
      </c>
      <c r="P30">
        <v>1.66</v>
      </c>
      <c r="Q30">
        <v>0.9</v>
      </c>
      <c r="R30">
        <v>0.5</v>
      </c>
      <c r="S30">
        <v>3.7999999999999999E-2</v>
      </c>
      <c r="T30">
        <v>0.06</v>
      </c>
      <c r="U30">
        <v>0.3</v>
      </c>
      <c r="V30">
        <v>0.5</v>
      </c>
      <c r="W30">
        <v>45</v>
      </c>
      <c r="X30">
        <v>0.05</v>
      </c>
      <c r="Y30" s="10">
        <v>11.477703200000001</v>
      </c>
      <c r="Z30" s="10">
        <v>0</v>
      </c>
      <c r="AA30" s="10">
        <v>3.9578831079999999</v>
      </c>
      <c r="AB30" s="10">
        <v>8.9707191799999997</v>
      </c>
      <c r="AC30" s="10">
        <v>3.648538206</v>
      </c>
      <c r="AD30" s="10">
        <v>10.37874075</v>
      </c>
      <c r="AE30" s="10">
        <v>3.631518389</v>
      </c>
      <c r="AF30" s="10">
        <v>12.97493899</v>
      </c>
      <c r="AG30" s="10">
        <v>0</v>
      </c>
      <c r="AH30" s="10">
        <v>17.843905150000001</v>
      </c>
    </row>
    <row r="31" spans="1:34" x14ac:dyDescent="0.3">
      <c r="A31" t="s">
        <v>103</v>
      </c>
      <c r="B31">
        <v>6000</v>
      </c>
      <c r="C31">
        <v>47</v>
      </c>
      <c r="D31">
        <v>24.75</v>
      </c>
      <c r="E31">
        <v>20</v>
      </c>
      <c r="F31">
        <v>11.85</v>
      </c>
      <c r="G31">
        <v>4</v>
      </c>
      <c r="H31">
        <v>0.5</v>
      </c>
      <c r="I31">
        <v>37.5</v>
      </c>
      <c r="J31">
        <v>28.05</v>
      </c>
      <c r="K31">
        <v>18.151609929999999</v>
      </c>
      <c r="L31" s="19">
        <f t="shared" si="0"/>
        <v>11.049999999795684</v>
      </c>
      <c r="M31">
        <v>27.645345880000001</v>
      </c>
      <c r="N31" s="19">
        <f t="shared" si="1"/>
        <v>13.000000002002833</v>
      </c>
      <c r="O31">
        <v>0</v>
      </c>
      <c r="P31">
        <v>1.66</v>
      </c>
      <c r="Q31">
        <v>0.9</v>
      </c>
      <c r="R31">
        <v>0.5</v>
      </c>
      <c r="S31">
        <v>3.7999999999999999E-2</v>
      </c>
      <c r="T31">
        <v>0.06</v>
      </c>
      <c r="U31">
        <v>0.3</v>
      </c>
      <c r="V31">
        <v>0.5</v>
      </c>
      <c r="W31">
        <v>45</v>
      </c>
      <c r="X31">
        <v>0.05</v>
      </c>
      <c r="Y31" s="10">
        <v>8.432598273</v>
      </c>
      <c r="Z31" s="10">
        <v>0</v>
      </c>
      <c r="AA31" s="10">
        <v>2.9078324869999999</v>
      </c>
      <c r="AB31" s="10">
        <v>7.6891878690000004</v>
      </c>
      <c r="AC31" s="10">
        <v>2.680558682</v>
      </c>
      <c r="AD31" s="10">
        <v>8.8960635040000007</v>
      </c>
      <c r="AE31" s="10">
        <v>2.6680543270000001</v>
      </c>
      <c r="AF31" s="10">
        <v>11.12137628</v>
      </c>
      <c r="AG31" s="10">
        <v>0</v>
      </c>
      <c r="AH31" s="10">
        <v>15.29477584</v>
      </c>
    </row>
    <row r="32" spans="1:34" x14ac:dyDescent="0.3">
      <c r="A32" t="s">
        <v>103</v>
      </c>
      <c r="B32">
        <v>5000</v>
      </c>
      <c r="C32">
        <v>47</v>
      </c>
      <c r="D32">
        <v>24.75</v>
      </c>
      <c r="E32">
        <v>20</v>
      </c>
      <c r="F32">
        <v>11.85</v>
      </c>
      <c r="G32">
        <v>4</v>
      </c>
      <c r="H32">
        <v>0.5</v>
      </c>
      <c r="I32">
        <v>37.5</v>
      </c>
      <c r="J32">
        <v>28.05</v>
      </c>
      <c r="K32">
        <v>18.151609929999999</v>
      </c>
      <c r="L32" s="19">
        <f t="shared" si="0"/>
        <v>11.049999999795684</v>
      </c>
      <c r="M32">
        <v>27.645345880000001</v>
      </c>
      <c r="N32" s="19">
        <f t="shared" si="1"/>
        <v>13.000000002002833</v>
      </c>
      <c r="O32">
        <v>0</v>
      </c>
      <c r="P32">
        <v>1.66</v>
      </c>
      <c r="Q32">
        <v>0.9</v>
      </c>
      <c r="R32">
        <v>0.5</v>
      </c>
      <c r="S32">
        <v>3.7999999999999999E-2</v>
      </c>
      <c r="T32">
        <v>0.06</v>
      </c>
      <c r="U32">
        <v>0.3</v>
      </c>
      <c r="V32">
        <v>0.5</v>
      </c>
      <c r="W32">
        <v>45</v>
      </c>
      <c r="X32">
        <v>0.05</v>
      </c>
      <c r="Y32" s="10">
        <v>5.8559710230000004</v>
      </c>
      <c r="Z32" s="10">
        <v>0</v>
      </c>
      <c r="AA32" s="10">
        <v>2.0193281160000001</v>
      </c>
      <c r="AB32" s="10">
        <v>6.4076565570000001</v>
      </c>
      <c r="AC32" s="10">
        <v>1.8614990849999999</v>
      </c>
      <c r="AD32" s="10">
        <v>7.4133862529999996</v>
      </c>
      <c r="AE32" s="10">
        <v>1.8528155049999999</v>
      </c>
      <c r="AF32" s="10">
        <v>9.2678135630000007</v>
      </c>
      <c r="AG32" s="10">
        <v>0</v>
      </c>
      <c r="AH32" s="10">
        <v>12.74564653</v>
      </c>
    </row>
    <row r="33" spans="1:34" x14ac:dyDescent="0.3">
      <c r="A33" t="s">
        <v>103</v>
      </c>
      <c r="B33">
        <v>4000</v>
      </c>
      <c r="C33">
        <v>47</v>
      </c>
      <c r="D33">
        <v>24.75</v>
      </c>
      <c r="E33">
        <v>20</v>
      </c>
      <c r="F33">
        <v>11.85</v>
      </c>
      <c r="G33">
        <v>4</v>
      </c>
      <c r="H33">
        <v>0.5</v>
      </c>
      <c r="I33">
        <v>37.5</v>
      </c>
      <c r="J33">
        <v>28.05</v>
      </c>
      <c r="K33">
        <v>18.151609929999999</v>
      </c>
      <c r="L33" s="19">
        <f t="shared" si="0"/>
        <v>11.049999999795684</v>
      </c>
      <c r="M33">
        <v>27.645345880000001</v>
      </c>
      <c r="N33" s="19">
        <f t="shared" si="1"/>
        <v>13.000000002002833</v>
      </c>
      <c r="O33">
        <v>0</v>
      </c>
      <c r="P33">
        <v>1.66</v>
      </c>
      <c r="Q33">
        <v>0.9</v>
      </c>
      <c r="R33">
        <v>0.5</v>
      </c>
      <c r="S33">
        <v>3.7999999999999999E-2</v>
      </c>
      <c r="T33">
        <v>0.06</v>
      </c>
      <c r="U33">
        <v>0.3</v>
      </c>
      <c r="V33">
        <v>0.5</v>
      </c>
      <c r="W33">
        <v>45</v>
      </c>
      <c r="X33">
        <v>0.05</v>
      </c>
      <c r="Y33" s="10">
        <v>3.747821455</v>
      </c>
      <c r="Z33" s="10">
        <v>0</v>
      </c>
      <c r="AA33" s="10">
        <v>1.292369994</v>
      </c>
      <c r="AB33" s="10">
        <v>5.126125246</v>
      </c>
      <c r="AC33" s="10">
        <v>1.1913594139999999</v>
      </c>
      <c r="AD33" s="10">
        <v>5.9307090020000004</v>
      </c>
      <c r="AE33" s="10">
        <v>1.1858019230000001</v>
      </c>
      <c r="AF33" s="10">
        <v>7.4142508500000002</v>
      </c>
      <c r="AG33" s="10">
        <v>0</v>
      </c>
      <c r="AH33" s="10">
        <v>10.19651723</v>
      </c>
    </row>
    <row r="34" spans="1:34" x14ac:dyDescent="0.3">
      <c r="A34" t="s">
        <v>104</v>
      </c>
      <c r="B34">
        <v>7300</v>
      </c>
      <c r="C34">
        <v>47.2</v>
      </c>
      <c r="D34">
        <v>24.75</v>
      </c>
      <c r="E34">
        <v>20</v>
      </c>
      <c r="F34">
        <v>11.85</v>
      </c>
      <c r="G34">
        <v>4</v>
      </c>
      <c r="H34">
        <v>0.4</v>
      </c>
      <c r="I34">
        <v>34.648000000000003</v>
      </c>
      <c r="J34">
        <v>18.611999999999998</v>
      </c>
      <c r="K34">
        <v>14.75</v>
      </c>
      <c r="L34" s="19">
        <f t="shared" si="0"/>
        <v>8.3858637385460675</v>
      </c>
      <c r="M34">
        <v>28.17</v>
      </c>
      <c r="N34" s="19">
        <f t="shared" si="1"/>
        <v>8.9906752950917426</v>
      </c>
      <c r="O34">
        <v>-1.5</v>
      </c>
      <c r="P34">
        <v>2.9</v>
      </c>
      <c r="Q34">
        <v>1</v>
      </c>
      <c r="R34">
        <v>0.4</v>
      </c>
      <c r="S34">
        <v>0.05</v>
      </c>
      <c r="T34">
        <v>0.05</v>
      </c>
      <c r="U34">
        <v>0.5</v>
      </c>
      <c r="V34">
        <v>0.5</v>
      </c>
      <c r="W34">
        <v>67</v>
      </c>
      <c r="X34">
        <v>0.5</v>
      </c>
      <c r="Y34" s="10">
        <v>10.5</v>
      </c>
      <c r="Z34" s="10">
        <v>0</v>
      </c>
      <c r="AA34" s="10">
        <v>3.5</v>
      </c>
      <c r="AB34" s="10">
        <v>7.93</v>
      </c>
      <c r="AC34" s="10">
        <v>3</v>
      </c>
      <c r="AD34" s="10">
        <v>9.0109999999999992</v>
      </c>
      <c r="AE34" s="10">
        <v>2.5</v>
      </c>
      <c r="AF34" s="10">
        <v>10.45</v>
      </c>
      <c r="AG34" s="10">
        <v>0</v>
      </c>
      <c r="AH34" s="10">
        <v>13.67</v>
      </c>
    </row>
    <row r="35" spans="1:34" x14ac:dyDescent="0.3">
      <c r="A35" t="s">
        <v>106</v>
      </c>
      <c r="B35">
        <v>6000</v>
      </c>
      <c r="C35">
        <v>47.2</v>
      </c>
      <c r="D35">
        <v>24.75</v>
      </c>
      <c r="E35">
        <v>20</v>
      </c>
      <c r="F35">
        <v>11.85</v>
      </c>
      <c r="G35">
        <v>4</v>
      </c>
      <c r="H35">
        <v>0.4</v>
      </c>
      <c r="I35">
        <v>34.648000000000003</v>
      </c>
      <c r="J35">
        <v>18.611999999999998</v>
      </c>
      <c r="K35">
        <v>14.75</v>
      </c>
      <c r="L35" s="19">
        <f t="shared" si="0"/>
        <v>8.3858637385460675</v>
      </c>
      <c r="M35">
        <v>28.17</v>
      </c>
      <c r="N35" s="19">
        <f t="shared" si="1"/>
        <v>8.9906752950917426</v>
      </c>
      <c r="O35">
        <v>-1.5</v>
      </c>
      <c r="P35">
        <v>2.9</v>
      </c>
      <c r="Q35">
        <v>1</v>
      </c>
      <c r="R35">
        <v>0.4</v>
      </c>
      <c r="S35">
        <v>0.05</v>
      </c>
      <c r="T35">
        <v>0.05</v>
      </c>
      <c r="U35">
        <v>0.5</v>
      </c>
      <c r="V35">
        <v>0.5</v>
      </c>
      <c r="W35">
        <v>67</v>
      </c>
      <c r="X35">
        <v>0.5</v>
      </c>
      <c r="Y35" s="10">
        <v>7.0932632760000001</v>
      </c>
      <c r="Z35" s="10">
        <v>0</v>
      </c>
      <c r="AA35" s="10">
        <v>2.3644210920000002</v>
      </c>
      <c r="AB35" s="10">
        <v>6.517808219</v>
      </c>
      <c r="AC35" s="10">
        <v>2.02664665</v>
      </c>
      <c r="AD35" s="10">
        <v>7.4063013700000004</v>
      </c>
      <c r="AE35" s="10">
        <v>1.6888722089999999</v>
      </c>
      <c r="AF35" s="10">
        <v>8.5890410960000008</v>
      </c>
      <c r="AG35" s="10">
        <v>0</v>
      </c>
      <c r="AH35" s="10">
        <v>11.235616439999999</v>
      </c>
    </row>
    <row r="36" spans="1:34" x14ac:dyDescent="0.3">
      <c r="A36" t="s">
        <v>105</v>
      </c>
      <c r="B36">
        <v>5000</v>
      </c>
      <c r="C36">
        <v>47.2</v>
      </c>
      <c r="D36">
        <v>24.75</v>
      </c>
      <c r="E36">
        <v>20</v>
      </c>
      <c r="F36">
        <v>11.85</v>
      </c>
      <c r="G36">
        <v>4</v>
      </c>
      <c r="H36">
        <v>0.4</v>
      </c>
      <c r="I36">
        <v>34.648000000000003</v>
      </c>
      <c r="J36">
        <v>18.611999999999998</v>
      </c>
      <c r="K36">
        <v>14.75</v>
      </c>
      <c r="L36" s="19">
        <f t="shared" si="0"/>
        <v>8.3858637385460675</v>
      </c>
      <c r="M36">
        <v>28.17</v>
      </c>
      <c r="N36" s="19">
        <f t="shared" si="1"/>
        <v>8.9906752950917426</v>
      </c>
      <c r="O36">
        <v>-1.5</v>
      </c>
      <c r="P36">
        <v>2.9</v>
      </c>
      <c r="Q36">
        <v>1</v>
      </c>
      <c r="R36">
        <v>0.4</v>
      </c>
      <c r="S36">
        <v>0.05</v>
      </c>
      <c r="T36">
        <v>0.05</v>
      </c>
      <c r="U36">
        <v>0.5</v>
      </c>
      <c r="V36">
        <v>0.5</v>
      </c>
      <c r="W36">
        <v>67</v>
      </c>
      <c r="X36">
        <v>0.5</v>
      </c>
      <c r="Y36" s="10">
        <v>4.9258772750000004</v>
      </c>
      <c r="Z36" s="10">
        <v>0</v>
      </c>
      <c r="AA36" s="10">
        <v>1.641959092</v>
      </c>
      <c r="AB36" s="10">
        <v>5.4315068489999998</v>
      </c>
      <c r="AC36" s="10">
        <v>1.4073935070000001</v>
      </c>
      <c r="AD36" s="10">
        <v>6.1719178079999999</v>
      </c>
      <c r="AE36" s="10">
        <v>1.172827923</v>
      </c>
      <c r="AF36" s="10">
        <v>7.1575342470000001</v>
      </c>
      <c r="AG36" s="10">
        <v>0</v>
      </c>
      <c r="AH36" s="10">
        <v>9.3630136989999997</v>
      </c>
    </row>
    <row r="37" spans="1:34" x14ac:dyDescent="0.3">
      <c r="A37" t="s">
        <v>105</v>
      </c>
      <c r="B37">
        <v>4000</v>
      </c>
      <c r="C37">
        <v>47.2</v>
      </c>
      <c r="D37">
        <v>24.75</v>
      </c>
      <c r="E37">
        <v>20</v>
      </c>
      <c r="F37">
        <v>11.85</v>
      </c>
      <c r="G37">
        <v>4</v>
      </c>
      <c r="H37">
        <v>0.4</v>
      </c>
      <c r="I37">
        <v>34.648000000000003</v>
      </c>
      <c r="J37">
        <v>18.611999999999998</v>
      </c>
      <c r="K37">
        <v>14.75</v>
      </c>
      <c r="L37" s="19">
        <f t="shared" si="0"/>
        <v>8.3858637385460675</v>
      </c>
      <c r="M37">
        <v>28.17</v>
      </c>
      <c r="N37" s="19">
        <f t="shared" si="1"/>
        <v>8.9906752950917426</v>
      </c>
      <c r="O37">
        <v>-1.5</v>
      </c>
      <c r="P37">
        <v>2.9</v>
      </c>
      <c r="Q37">
        <v>1</v>
      </c>
      <c r="R37">
        <v>0.4</v>
      </c>
      <c r="S37">
        <v>0.05</v>
      </c>
      <c r="T37">
        <v>0.05</v>
      </c>
      <c r="U37">
        <v>0.5</v>
      </c>
      <c r="V37">
        <v>0.5</v>
      </c>
      <c r="W37">
        <v>67</v>
      </c>
      <c r="X37">
        <v>0.5</v>
      </c>
      <c r="Y37" s="10">
        <v>3.1525614559999999</v>
      </c>
      <c r="Z37" s="10">
        <v>0</v>
      </c>
      <c r="AA37" s="10">
        <v>1.0508538190000001</v>
      </c>
      <c r="AB37" s="10">
        <v>4.3452054789999996</v>
      </c>
      <c r="AC37" s="10">
        <v>0.90073184500000003</v>
      </c>
      <c r="AD37" s="10">
        <v>4.9375342470000003</v>
      </c>
      <c r="AE37" s="10">
        <v>0.75060987099999998</v>
      </c>
      <c r="AF37" s="10">
        <v>5.7260273970000002</v>
      </c>
      <c r="AG37" s="10">
        <v>0</v>
      </c>
      <c r="AH37" s="10">
        <v>7.4904109590000001</v>
      </c>
    </row>
    <row r="38" spans="1:34" x14ac:dyDescent="0.3">
      <c r="A38" t="s">
        <v>107</v>
      </c>
      <c r="B38">
        <v>7300</v>
      </c>
      <c r="C38">
        <v>46.8</v>
      </c>
      <c r="D38">
        <v>24.75</v>
      </c>
      <c r="E38">
        <v>20</v>
      </c>
      <c r="F38">
        <v>11.85</v>
      </c>
      <c r="G38">
        <v>7</v>
      </c>
      <c r="H38">
        <v>0.6</v>
      </c>
      <c r="I38">
        <v>35.58</v>
      </c>
      <c r="J38">
        <v>26.61</v>
      </c>
      <c r="K38">
        <v>17.78</v>
      </c>
      <c r="L38" s="19">
        <f t="shared" si="0"/>
        <v>10.345099357832943</v>
      </c>
      <c r="M38">
        <v>32.92</v>
      </c>
      <c r="N38" s="19">
        <f t="shared" si="1"/>
        <v>14.74536642107098</v>
      </c>
      <c r="O38">
        <v>-1.5</v>
      </c>
      <c r="P38">
        <v>2.9</v>
      </c>
      <c r="Q38">
        <v>1.2</v>
      </c>
      <c r="R38">
        <v>0.4</v>
      </c>
      <c r="S38">
        <v>0.03</v>
      </c>
      <c r="T38">
        <v>0.03</v>
      </c>
      <c r="U38">
        <v>0.5</v>
      </c>
      <c r="V38">
        <v>0.5</v>
      </c>
      <c r="W38">
        <v>40</v>
      </c>
      <c r="X38">
        <v>40</v>
      </c>
      <c r="Y38" s="10">
        <v>15.297171069999999</v>
      </c>
      <c r="Z38" s="10">
        <v>0</v>
      </c>
      <c r="AA38" s="10">
        <v>5.6537008059999998</v>
      </c>
      <c r="AB38" s="10">
        <v>8.743475407</v>
      </c>
      <c r="AC38" s="10">
        <v>5.1890068139999999</v>
      </c>
      <c r="AD38" s="10">
        <v>9.976067875</v>
      </c>
      <c r="AE38" s="10">
        <v>4.3748363750000001</v>
      </c>
      <c r="AF38" s="10">
        <v>11.8132009</v>
      </c>
      <c r="AG38" s="10">
        <v>0</v>
      </c>
      <c r="AH38" s="10">
        <v>15.991996090000001</v>
      </c>
    </row>
    <row r="39" spans="1:34" x14ac:dyDescent="0.3">
      <c r="A39" t="s">
        <v>107</v>
      </c>
      <c r="B39">
        <v>6000</v>
      </c>
      <c r="C39">
        <v>46.8</v>
      </c>
      <c r="D39">
        <v>24.75</v>
      </c>
      <c r="E39">
        <v>20</v>
      </c>
      <c r="F39">
        <v>11.85</v>
      </c>
      <c r="G39">
        <v>7</v>
      </c>
      <c r="H39">
        <v>0.6</v>
      </c>
      <c r="I39">
        <v>35.58</v>
      </c>
      <c r="J39">
        <v>26.61</v>
      </c>
      <c r="K39">
        <v>17.78</v>
      </c>
      <c r="L39" s="19">
        <f t="shared" si="0"/>
        <v>10.345099357832943</v>
      </c>
      <c r="M39">
        <v>32.92</v>
      </c>
      <c r="N39" s="19">
        <f t="shared" si="1"/>
        <v>14.74536642107098</v>
      </c>
      <c r="O39">
        <v>-1.5</v>
      </c>
      <c r="P39">
        <v>2.9</v>
      </c>
      <c r="Q39">
        <v>1.2</v>
      </c>
      <c r="R39">
        <v>0.4</v>
      </c>
      <c r="S39">
        <v>0.03</v>
      </c>
      <c r="T39">
        <v>0.03</v>
      </c>
      <c r="U39">
        <v>0.5</v>
      </c>
      <c r="V39">
        <v>0.5</v>
      </c>
      <c r="W39">
        <v>40</v>
      </c>
      <c r="X39">
        <v>40</v>
      </c>
      <c r="Y39" s="10">
        <v>10.333986830000001</v>
      </c>
      <c r="Z39" s="10">
        <v>0</v>
      </c>
      <c r="AA39" s="10">
        <v>3.819351267</v>
      </c>
      <c r="AB39" s="10">
        <v>7.186418142</v>
      </c>
      <c r="AC39" s="10">
        <v>3.5054277589999998</v>
      </c>
      <c r="AD39" s="10">
        <v>8.1995078419999992</v>
      </c>
      <c r="AE39" s="10">
        <v>2.9554158290000001</v>
      </c>
      <c r="AF39" s="10">
        <v>9.7094801959999995</v>
      </c>
      <c r="AG39" s="10">
        <v>0</v>
      </c>
      <c r="AH39" s="10">
        <v>13.144106369999999</v>
      </c>
    </row>
    <row r="40" spans="1:34" x14ac:dyDescent="0.3">
      <c r="A40" t="s">
        <v>108</v>
      </c>
      <c r="B40">
        <v>5000</v>
      </c>
      <c r="C40">
        <v>46.8</v>
      </c>
      <c r="D40">
        <v>24.75</v>
      </c>
      <c r="E40">
        <v>20</v>
      </c>
      <c r="F40">
        <v>11.85</v>
      </c>
      <c r="G40">
        <v>7</v>
      </c>
      <c r="H40">
        <v>0.6</v>
      </c>
      <c r="I40">
        <v>35.58</v>
      </c>
      <c r="J40">
        <v>26.61</v>
      </c>
      <c r="K40">
        <v>17.78</v>
      </c>
      <c r="L40" s="19">
        <f t="shared" si="0"/>
        <v>10.345099357832943</v>
      </c>
      <c r="M40">
        <v>32.92</v>
      </c>
      <c r="N40" s="19">
        <f t="shared" si="1"/>
        <v>14.74536642107098</v>
      </c>
      <c r="O40">
        <v>-1.5</v>
      </c>
      <c r="P40">
        <v>2.9</v>
      </c>
      <c r="Q40">
        <v>1.2</v>
      </c>
      <c r="R40">
        <v>0.4</v>
      </c>
      <c r="S40">
        <v>0.03</v>
      </c>
      <c r="T40">
        <v>0.03</v>
      </c>
      <c r="U40">
        <v>0.5</v>
      </c>
      <c r="V40">
        <v>0.5</v>
      </c>
      <c r="W40">
        <v>40</v>
      </c>
      <c r="X40">
        <v>40</v>
      </c>
      <c r="Y40" s="10">
        <v>7.1763797460000003</v>
      </c>
      <c r="Z40" s="10">
        <v>0</v>
      </c>
      <c r="AA40" s="10">
        <v>2.6523272690000002</v>
      </c>
      <c r="AB40" s="10">
        <v>5.9886817849999998</v>
      </c>
      <c r="AC40" s="10">
        <v>2.4343248329999998</v>
      </c>
      <c r="AD40" s="10">
        <v>6.8329232019999999</v>
      </c>
      <c r="AE40" s="10">
        <v>2.0523721030000002</v>
      </c>
      <c r="AF40" s="10">
        <v>8.0912334959999992</v>
      </c>
      <c r="AG40" s="10">
        <v>0</v>
      </c>
      <c r="AH40" s="10">
        <v>10.95342198</v>
      </c>
    </row>
    <row r="41" spans="1:34" x14ac:dyDescent="0.3">
      <c r="A41" t="s">
        <v>108</v>
      </c>
      <c r="B41">
        <v>4000</v>
      </c>
      <c r="C41">
        <v>46.8</v>
      </c>
      <c r="D41">
        <v>24.75</v>
      </c>
      <c r="E41">
        <v>20</v>
      </c>
      <c r="F41">
        <v>11.85</v>
      </c>
      <c r="G41">
        <v>7</v>
      </c>
      <c r="H41">
        <v>0.6</v>
      </c>
      <c r="I41">
        <v>35.58</v>
      </c>
      <c r="J41">
        <v>26.61</v>
      </c>
      <c r="K41">
        <v>17.78</v>
      </c>
      <c r="L41" s="19">
        <f t="shared" si="0"/>
        <v>10.345099357832943</v>
      </c>
      <c r="M41">
        <v>32.92</v>
      </c>
      <c r="N41" s="19">
        <f t="shared" si="1"/>
        <v>14.74536642107098</v>
      </c>
      <c r="O41">
        <v>-1.5</v>
      </c>
      <c r="P41">
        <v>2.9</v>
      </c>
      <c r="Q41">
        <v>1.2</v>
      </c>
      <c r="R41">
        <v>0.4</v>
      </c>
      <c r="S41">
        <v>0.03</v>
      </c>
      <c r="T41">
        <v>0.03</v>
      </c>
      <c r="U41">
        <v>0.5</v>
      </c>
      <c r="V41">
        <v>0.5</v>
      </c>
      <c r="W41">
        <v>40</v>
      </c>
      <c r="X41">
        <v>40</v>
      </c>
      <c r="Y41" s="10">
        <v>4.592883037</v>
      </c>
      <c r="Z41" s="10">
        <v>0</v>
      </c>
      <c r="AA41" s="10">
        <v>1.6974894519999999</v>
      </c>
      <c r="AB41" s="10">
        <v>4.7909454279999997</v>
      </c>
      <c r="AC41" s="10">
        <v>1.557967893</v>
      </c>
      <c r="AD41" s="10">
        <v>5.4663385619999998</v>
      </c>
      <c r="AE41" s="10">
        <v>1.3135181460000001</v>
      </c>
      <c r="AF41" s="10">
        <v>6.4729867969999999</v>
      </c>
      <c r="AG41" s="10">
        <v>0</v>
      </c>
      <c r="AH41" s="10">
        <v>8.7627375819999997</v>
      </c>
    </row>
    <row r="42" spans="1:34" x14ac:dyDescent="0.3">
      <c r="A42" t="s">
        <v>109</v>
      </c>
      <c r="B42">
        <v>7300</v>
      </c>
      <c r="C42">
        <v>46.8</v>
      </c>
      <c r="D42">
        <v>24.75</v>
      </c>
      <c r="E42">
        <v>20</v>
      </c>
      <c r="F42">
        <v>11.85</v>
      </c>
      <c r="G42">
        <v>7</v>
      </c>
      <c r="H42">
        <v>0.6</v>
      </c>
      <c r="I42">
        <v>38.58</v>
      </c>
      <c r="J42">
        <v>29.195</v>
      </c>
      <c r="K42">
        <v>16.59</v>
      </c>
      <c r="L42" s="19">
        <f t="shared" si="0"/>
        <v>10.345636091955825</v>
      </c>
      <c r="M42">
        <v>30.225000000000001</v>
      </c>
      <c r="N42" s="19">
        <f t="shared" si="1"/>
        <v>14.743255696885033</v>
      </c>
      <c r="O42">
        <v>-1.5</v>
      </c>
      <c r="P42">
        <v>2.9</v>
      </c>
      <c r="Q42">
        <v>1.2</v>
      </c>
      <c r="R42">
        <v>0.4</v>
      </c>
      <c r="S42">
        <v>0.03</v>
      </c>
      <c r="T42">
        <v>0.03</v>
      </c>
      <c r="U42">
        <v>0.5</v>
      </c>
      <c r="V42">
        <v>0.5</v>
      </c>
      <c r="W42">
        <v>40</v>
      </c>
      <c r="X42">
        <v>40</v>
      </c>
      <c r="Y42" s="10">
        <v>15.087839349999999</v>
      </c>
      <c r="Z42" s="10">
        <v>0</v>
      </c>
      <c r="AA42" s="10">
        <v>6.9095579909999998</v>
      </c>
      <c r="AB42" s="10">
        <v>7.7184393240000002</v>
      </c>
      <c r="AC42" s="10">
        <v>5.7264798350000001</v>
      </c>
      <c r="AD42" s="10">
        <v>9.5503075440000007</v>
      </c>
      <c r="AE42" s="10">
        <v>4.7488437140000004</v>
      </c>
      <c r="AF42" s="10">
        <v>13.21401846</v>
      </c>
      <c r="AG42" s="10">
        <v>0</v>
      </c>
      <c r="AH42" s="10">
        <v>17.713672949999999</v>
      </c>
    </row>
    <row r="43" spans="1:34" x14ac:dyDescent="0.3">
      <c r="A43" t="s">
        <v>109</v>
      </c>
      <c r="B43">
        <v>6000</v>
      </c>
      <c r="C43">
        <v>46.8</v>
      </c>
      <c r="D43">
        <v>24.75</v>
      </c>
      <c r="E43">
        <v>20</v>
      </c>
      <c r="F43">
        <v>11.85</v>
      </c>
      <c r="G43">
        <v>7</v>
      </c>
      <c r="H43">
        <v>0.6</v>
      </c>
      <c r="I43">
        <v>38.58</v>
      </c>
      <c r="J43">
        <v>29.195</v>
      </c>
      <c r="K43">
        <v>16.59</v>
      </c>
      <c r="L43" s="19">
        <f t="shared" si="0"/>
        <v>10.345636091955825</v>
      </c>
      <c r="M43">
        <v>30.225000000000001</v>
      </c>
      <c r="N43" s="19">
        <f t="shared" si="1"/>
        <v>14.743255696885033</v>
      </c>
      <c r="O43">
        <v>-1.5</v>
      </c>
      <c r="P43">
        <v>2.9</v>
      </c>
      <c r="Q43">
        <v>1.2</v>
      </c>
      <c r="R43">
        <v>0.4</v>
      </c>
      <c r="S43">
        <v>0.03</v>
      </c>
      <c r="T43">
        <v>0.03</v>
      </c>
      <c r="U43">
        <v>0.5</v>
      </c>
      <c r="V43">
        <v>0.5</v>
      </c>
      <c r="W43">
        <v>40</v>
      </c>
      <c r="X43">
        <v>40</v>
      </c>
      <c r="Y43" s="10">
        <v>10.19257303</v>
      </c>
      <c r="Z43" s="10">
        <v>0</v>
      </c>
      <c r="AA43" s="10">
        <v>4.6677441860000002</v>
      </c>
      <c r="AB43" s="10">
        <v>6.3439227320000002</v>
      </c>
      <c r="AC43" s="10">
        <v>3.8685170590000002</v>
      </c>
      <c r="AD43" s="10">
        <v>7.8495678440000001</v>
      </c>
      <c r="AE43" s="10">
        <v>3.2080760690000001</v>
      </c>
      <c r="AF43" s="10">
        <v>10.86083709</v>
      </c>
      <c r="AG43" s="10">
        <v>0</v>
      </c>
      <c r="AH43" s="10">
        <v>14.55918325</v>
      </c>
    </row>
    <row r="44" spans="1:34" x14ac:dyDescent="0.3">
      <c r="A44" t="s">
        <v>110</v>
      </c>
      <c r="B44">
        <v>5000</v>
      </c>
      <c r="C44">
        <v>46.8</v>
      </c>
      <c r="D44">
        <v>24.75</v>
      </c>
      <c r="E44">
        <v>20</v>
      </c>
      <c r="F44">
        <v>11.85</v>
      </c>
      <c r="G44">
        <v>7</v>
      </c>
      <c r="H44">
        <v>0.6</v>
      </c>
      <c r="I44">
        <v>38.58</v>
      </c>
      <c r="J44">
        <v>29.195</v>
      </c>
      <c r="K44">
        <v>16.59</v>
      </c>
      <c r="L44" s="19">
        <f t="shared" si="0"/>
        <v>10.345636091955825</v>
      </c>
      <c r="M44">
        <v>30.225000000000001</v>
      </c>
      <c r="N44" s="19">
        <f t="shared" si="1"/>
        <v>14.743255696885033</v>
      </c>
      <c r="O44">
        <v>-1.5</v>
      </c>
      <c r="P44">
        <v>2.9</v>
      </c>
      <c r="Q44">
        <v>1.2</v>
      </c>
      <c r="R44">
        <v>0.4</v>
      </c>
      <c r="S44">
        <v>0.03</v>
      </c>
      <c r="T44">
        <v>0.03</v>
      </c>
      <c r="U44">
        <v>0.5</v>
      </c>
      <c r="V44">
        <v>0.5</v>
      </c>
      <c r="W44">
        <v>40</v>
      </c>
      <c r="X44">
        <v>40</v>
      </c>
      <c r="Y44" s="10">
        <v>7.0781757150000004</v>
      </c>
      <c r="Z44" s="10">
        <v>0</v>
      </c>
      <c r="AA44" s="10">
        <v>3.2414890180000002</v>
      </c>
      <c r="AB44" s="10">
        <v>5.286602276</v>
      </c>
      <c r="AC44" s="10">
        <v>2.6864701800000002</v>
      </c>
      <c r="AD44" s="10">
        <v>6.5413065369999996</v>
      </c>
      <c r="AE44" s="10">
        <v>2.2278306030000001</v>
      </c>
      <c r="AF44" s="10">
        <v>9.0506975740000009</v>
      </c>
      <c r="AG44" s="10">
        <v>0</v>
      </c>
      <c r="AH44" s="10">
        <v>12.13265271</v>
      </c>
    </row>
    <row r="45" spans="1:34" x14ac:dyDescent="0.3">
      <c r="A45" t="s">
        <v>110</v>
      </c>
      <c r="B45">
        <v>4000</v>
      </c>
      <c r="C45">
        <v>46.8</v>
      </c>
      <c r="D45">
        <v>24.75</v>
      </c>
      <c r="E45">
        <v>20</v>
      </c>
      <c r="F45">
        <v>11.85</v>
      </c>
      <c r="G45">
        <v>7</v>
      </c>
      <c r="H45">
        <v>0.6</v>
      </c>
      <c r="I45">
        <v>38.58</v>
      </c>
      <c r="J45">
        <v>29.195</v>
      </c>
      <c r="K45">
        <v>16.59</v>
      </c>
      <c r="L45" s="19">
        <f t="shared" si="0"/>
        <v>10.345636091955825</v>
      </c>
      <c r="M45">
        <v>30.225000000000001</v>
      </c>
      <c r="N45" s="19">
        <f t="shared" si="1"/>
        <v>14.743255696885033</v>
      </c>
      <c r="O45">
        <v>-1.5</v>
      </c>
      <c r="P45">
        <v>2.9</v>
      </c>
      <c r="Q45">
        <v>1.2</v>
      </c>
      <c r="R45">
        <v>0.4</v>
      </c>
      <c r="S45">
        <v>0.03</v>
      </c>
      <c r="T45">
        <v>0.03</v>
      </c>
      <c r="U45">
        <v>0.5</v>
      </c>
      <c r="V45">
        <v>0.5</v>
      </c>
      <c r="W45">
        <v>40</v>
      </c>
      <c r="X45">
        <v>40</v>
      </c>
      <c r="Y45" s="10">
        <v>4.530032458</v>
      </c>
      <c r="Z45" s="10">
        <v>0</v>
      </c>
      <c r="AA45" s="10">
        <v>2.0745529710000001</v>
      </c>
      <c r="AB45" s="10">
        <v>4.2292818209999998</v>
      </c>
      <c r="AC45" s="10">
        <v>1.7193409150000001</v>
      </c>
      <c r="AD45" s="10">
        <v>5.2330452300000001</v>
      </c>
      <c r="AE45" s="10">
        <v>1.425811586</v>
      </c>
      <c r="AF45" s="10">
        <v>7.2405580589999996</v>
      </c>
      <c r="AG45" s="10">
        <v>0</v>
      </c>
      <c r="AH45" s="10">
        <v>9.7061221670000002</v>
      </c>
    </row>
    <row r="46" spans="1:34" x14ac:dyDescent="0.3">
      <c r="A46" t="s">
        <v>111</v>
      </c>
      <c r="B46">
        <v>7300</v>
      </c>
      <c r="C46">
        <v>46.8</v>
      </c>
      <c r="D46">
        <v>24.75</v>
      </c>
      <c r="E46">
        <v>20</v>
      </c>
      <c r="F46">
        <v>11.85</v>
      </c>
      <c r="G46">
        <v>7</v>
      </c>
      <c r="H46">
        <v>0.6</v>
      </c>
      <c r="I46">
        <v>32.951999999999998</v>
      </c>
      <c r="J46">
        <v>24.42</v>
      </c>
      <c r="K46">
        <v>19.03</v>
      </c>
      <c r="L46" s="19">
        <f t="shared" si="0"/>
        <v>10.351106665485586</v>
      </c>
      <c r="M46">
        <v>35.713999999999999</v>
      </c>
      <c r="N46" s="19">
        <f t="shared" si="1"/>
        <v>14.76496377994583</v>
      </c>
      <c r="O46">
        <v>-1.5</v>
      </c>
      <c r="P46">
        <v>2.9</v>
      </c>
      <c r="Q46">
        <v>1.2</v>
      </c>
      <c r="R46">
        <v>0.4</v>
      </c>
      <c r="S46">
        <v>0.03</v>
      </c>
      <c r="T46">
        <v>0.03</v>
      </c>
      <c r="U46">
        <v>0.5</v>
      </c>
      <c r="V46">
        <v>0.5</v>
      </c>
      <c r="W46">
        <v>40</v>
      </c>
      <c r="X46">
        <v>40</v>
      </c>
      <c r="Y46" s="10">
        <v>16.3</v>
      </c>
      <c r="Z46" s="10">
        <v>0</v>
      </c>
      <c r="AA46" s="10">
        <v>7.85</v>
      </c>
      <c r="AB46" s="10">
        <v>5.94</v>
      </c>
      <c r="AC46" s="10">
        <v>6.03</v>
      </c>
      <c r="AD46" s="10">
        <v>7.952</v>
      </c>
      <c r="AE46" s="10">
        <v>5.05</v>
      </c>
      <c r="AF46" s="10">
        <v>9.93</v>
      </c>
      <c r="AG46" s="10">
        <v>0</v>
      </c>
      <c r="AH46" s="10">
        <v>15.5</v>
      </c>
    </row>
    <row r="47" spans="1:34" x14ac:dyDescent="0.3">
      <c r="A47" t="s">
        <v>111</v>
      </c>
      <c r="B47">
        <v>6000</v>
      </c>
      <c r="C47">
        <v>46.8</v>
      </c>
      <c r="D47">
        <v>24.75</v>
      </c>
      <c r="E47">
        <v>20</v>
      </c>
      <c r="F47">
        <v>11.85</v>
      </c>
      <c r="G47">
        <v>7</v>
      </c>
      <c r="H47">
        <v>0.6</v>
      </c>
      <c r="I47">
        <v>32.951999999999998</v>
      </c>
      <c r="J47">
        <v>24.42</v>
      </c>
      <c r="K47">
        <v>19.03</v>
      </c>
      <c r="L47" s="19">
        <f t="shared" si="0"/>
        <v>10.351106665485586</v>
      </c>
      <c r="M47">
        <v>35.713999999999999</v>
      </c>
      <c r="N47" s="19">
        <f t="shared" si="1"/>
        <v>14.76496377994583</v>
      </c>
      <c r="O47">
        <v>-1.5</v>
      </c>
      <c r="P47">
        <v>2.9</v>
      </c>
      <c r="Q47">
        <v>1.2</v>
      </c>
      <c r="R47">
        <v>0.4</v>
      </c>
      <c r="S47">
        <v>0.03</v>
      </c>
      <c r="T47">
        <v>0.03</v>
      </c>
      <c r="U47">
        <v>0.5</v>
      </c>
      <c r="V47">
        <v>0.5</v>
      </c>
      <c r="W47">
        <v>40</v>
      </c>
      <c r="X47">
        <v>40</v>
      </c>
      <c r="Y47" s="10">
        <v>11.0114468</v>
      </c>
      <c r="Z47" s="10">
        <v>0</v>
      </c>
      <c r="AA47" s="10">
        <v>5.3030587349999996</v>
      </c>
      <c r="AB47" s="10">
        <v>4.8821917810000004</v>
      </c>
      <c r="AC47" s="10">
        <v>4.2559579660000004</v>
      </c>
      <c r="AD47" s="10">
        <v>6.5358904109999996</v>
      </c>
      <c r="AE47" s="10">
        <v>3.5824754080000001</v>
      </c>
      <c r="AF47" s="10">
        <v>8.1616438359999997</v>
      </c>
      <c r="AG47" s="10">
        <v>0</v>
      </c>
      <c r="AH47" s="10">
        <v>12.73972603</v>
      </c>
    </row>
    <row r="48" spans="1:34" x14ac:dyDescent="0.3">
      <c r="A48" t="s">
        <v>111</v>
      </c>
      <c r="B48">
        <v>5000</v>
      </c>
      <c r="C48">
        <v>46.8</v>
      </c>
      <c r="D48">
        <v>24.75</v>
      </c>
      <c r="E48">
        <v>20</v>
      </c>
      <c r="F48">
        <v>11.85</v>
      </c>
      <c r="G48">
        <v>7</v>
      </c>
      <c r="H48">
        <v>0.6</v>
      </c>
      <c r="I48">
        <v>32.951999999999998</v>
      </c>
      <c r="J48">
        <v>24.42</v>
      </c>
      <c r="K48">
        <v>19.03</v>
      </c>
      <c r="L48" s="19">
        <f t="shared" si="0"/>
        <v>10.351106665485586</v>
      </c>
      <c r="M48">
        <v>35.713999999999999</v>
      </c>
      <c r="N48" s="19">
        <f t="shared" si="1"/>
        <v>14.76496377994583</v>
      </c>
      <c r="O48">
        <v>-1.5</v>
      </c>
      <c r="P48">
        <v>2.9</v>
      </c>
      <c r="Q48">
        <v>1.2</v>
      </c>
      <c r="R48">
        <v>0.4</v>
      </c>
      <c r="S48">
        <v>0.03</v>
      </c>
      <c r="T48">
        <v>0.03</v>
      </c>
      <c r="U48">
        <v>0.5</v>
      </c>
      <c r="V48">
        <v>0.5</v>
      </c>
      <c r="W48">
        <v>40</v>
      </c>
      <c r="X48">
        <v>40</v>
      </c>
      <c r="Y48" s="10">
        <v>7.646838056</v>
      </c>
      <c r="Z48" s="10">
        <v>0</v>
      </c>
      <c r="AA48" s="10">
        <v>3.6826796769999999</v>
      </c>
      <c r="AB48" s="10">
        <v>4.0684931510000002</v>
      </c>
      <c r="AC48" s="10">
        <v>2.9555263649999999</v>
      </c>
      <c r="AD48" s="10">
        <v>5.446575342</v>
      </c>
      <c r="AE48" s="10">
        <v>2.5574164430000002</v>
      </c>
      <c r="AF48" s="10">
        <v>6.8013698629999997</v>
      </c>
      <c r="AG48" s="10">
        <v>0</v>
      </c>
      <c r="AH48" s="10">
        <v>10.61643836</v>
      </c>
    </row>
    <row r="49" spans="1:34" x14ac:dyDescent="0.3">
      <c r="A49" t="s">
        <v>111</v>
      </c>
      <c r="B49">
        <v>4000</v>
      </c>
      <c r="C49">
        <v>46.8</v>
      </c>
      <c r="D49">
        <v>24.75</v>
      </c>
      <c r="E49">
        <v>20</v>
      </c>
      <c r="F49">
        <v>11.85</v>
      </c>
      <c r="G49">
        <v>7</v>
      </c>
      <c r="H49">
        <v>0.6</v>
      </c>
      <c r="I49">
        <v>32.951999999999998</v>
      </c>
      <c r="J49">
        <v>24.42</v>
      </c>
      <c r="K49">
        <v>19.03</v>
      </c>
      <c r="L49" s="19">
        <f t="shared" si="0"/>
        <v>10.351106665485586</v>
      </c>
      <c r="M49">
        <v>35.713999999999999</v>
      </c>
      <c r="N49" s="19">
        <f t="shared" si="1"/>
        <v>14.76496377994583</v>
      </c>
      <c r="O49">
        <v>-1.5</v>
      </c>
      <c r="P49">
        <v>2.9</v>
      </c>
      <c r="Q49">
        <v>1.2</v>
      </c>
      <c r="R49">
        <v>0.4</v>
      </c>
      <c r="S49">
        <v>0.03</v>
      </c>
      <c r="T49">
        <v>0.03</v>
      </c>
      <c r="U49">
        <v>0.5</v>
      </c>
      <c r="V49">
        <v>0.5</v>
      </c>
      <c r="W49">
        <v>40</v>
      </c>
      <c r="X49">
        <v>40</v>
      </c>
      <c r="Y49" s="10">
        <v>4.8939763559999996</v>
      </c>
      <c r="Z49" s="10">
        <v>0</v>
      </c>
      <c r="AA49" s="10">
        <v>2.3569149930000002</v>
      </c>
      <c r="AB49" s="10">
        <v>3.254794521</v>
      </c>
      <c r="AC49" s="10">
        <v>1.891536874</v>
      </c>
      <c r="AD49" s="10">
        <v>4.3572602739999997</v>
      </c>
      <c r="AE49" s="10">
        <v>1.5084255959999999</v>
      </c>
      <c r="AF49" s="10">
        <v>5.4410958899999997</v>
      </c>
      <c r="AG49" s="10">
        <v>0</v>
      </c>
      <c r="AH49" s="10">
        <v>8.4931506849999998</v>
      </c>
    </row>
    <row r="50" spans="1:34" x14ac:dyDescent="0.3">
      <c r="A50" t="s">
        <v>112</v>
      </c>
      <c r="B50">
        <v>7300</v>
      </c>
      <c r="C50">
        <v>47.2</v>
      </c>
      <c r="D50">
        <v>24.75</v>
      </c>
      <c r="E50">
        <v>20</v>
      </c>
      <c r="F50">
        <v>11.85</v>
      </c>
      <c r="G50">
        <v>7</v>
      </c>
      <c r="H50">
        <v>0.4</v>
      </c>
      <c r="I50">
        <v>40.835999999999999</v>
      </c>
      <c r="J50">
        <v>31.187999999999999</v>
      </c>
      <c r="K50">
        <v>15.83</v>
      </c>
      <c r="L50" s="19">
        <f t="shared" si="0"/>
        <v>10.351175405468174</v>
      </c>
      <c r="M50">
        <v>28.37</v>
      </c>
      <c r="N50" s="19">
        <f t="shared" si="1"/>
        <v>14.691343531199349</v>
      </c>
      <c r="O50">
        <v>-1.5</v>
      </c>
      <c r="P50">
        <v>2.9</v>
      </c>
      <c r="Q50">
        <v>1.2</v>
      </c>
      <c r="R50">
        <v>0.4</v>
      </c>
      <c r="S50">
        <v>0.03</v>
      </c>
      <c r="T50">
        <v>0.03</v>
      </c>
      <c r="U50">
        <v>0.5</v>
      </c>
      <c r="V50">
        <v>0.5</v>
      </c>
      <c r="W50">
        <v>50</v>
      </c>
      <c r="X50">
        <v>40</v>
      </c>
      <c r="Y50" s="10">
        <v>14.70378798</v>
      </c>
      <c r="Z50" s="10">
        <v>0</v>
      </c>
      <c r="AA50" s="10">
        <v>6.6420358449999997</v>
      </c>
      <c r="AB50" s="10">
        <v>7.7411850949999996</v>
      </c>
      <c r="AC50" s="10">
        <v>5.9086462620000004</v>
      </c>
      <c r="AD50" s="10">
        <v>11.357643400000001</v>
      </c>
      <c r="AE50" s="10">
        <v>4.8438649480000002</v>
      </c>
      <c r="AF50" s="10">
        <v>13.55859313</v>
      </c>
      <c r="AG50" s="10">
        <v>0</v>
      </c>
      <c r="AH50" s="10">
        <v>17.83715449</v>
      </c>
    </row>
    <row r="51" spans="1:34" x14ac:dyDescent="0.3">
      <c r="A51" t="s">
        <v>112</v>
      </c>
      <c r="B51">
        <v>6000</v>
      </c>
      <c r="C51">
        <v>47.2</v>
      </c>
      <c r="D51">
        <v>24.75</v>
      </c>
      <c r="E51">
        <v>20</v>
      </c>
      <c r="F51">
        <v>11.85</v>
      </c>
      <c r="G51">
        <v>7</v>
      </c>
      <c r="H51">
        <v>0.4</v>
      </c>
      <c r="I51">
        <v>40.835999999999999</v>
      </c>
      <c r="J51">
        <v>31.187999999999999</v>
      </c>
      <c r="K51">
        <v>15.83</v>
      </c>
      <c r="L51" s="19">
        <f t="shared" si="0"/>
        <v>10.351175405468174</v>
      </c>
      <c r="M51">
        <v>28.37</v>
      </c>
      <c r="N51" s="19">
        <f t="shared" si="1"/>
        <v>14.691343531199349</v>
      </c>
      <c r="O51">
        <v>-1.5</v>
      </c>
      <c r="P51">
        <v>2.9</v>
      </c>
      <c r="Q51">
        <v>1.2</v>
      </c>
      <c r="R51">
        <v>0.4</v>
      </c>
      <c r="S51">
        <v>0.03</v>
      </c>
      <c r="T51">
        <v>0.03</v>
      </c>
      <c r="U51">
        <v>0.5</v>
      </c>
      <c r="V51">
        <v>0.5</v>
      </c>
      <c r="W51">
        <v>50</v>
      </c>
      <c r="X51">
        <v>40</v>
      </c>
      <c r="Y51" s="10">
        <v>9.9331275540000004</v>
      </c>
      <c r="Z51" s="10">
        <v>0</v>
      </c>
      <c r="AA51" s="10">
        <v>4.4870198989999999</v>
      </c>
      <c r="AB51" s="10">
        <v>6.3626178869999999</v>
      </c>
      <c r="AC51" s="10">
        <v>3.9915793850000001</v>
      </c>
      <c r="AD51" s="10">
        <v>9.3350493659999998</v>
      </c>
      <c r="AE51" s="10">
        <v>3.2722675570000002</v>
      </c>
      <c r="AF51" s="10">
        <v>11.144049150000001</v>
      </c>
      <c r="AG51" s="10">
        <v>0</v>
      </c>
      <c r="AH51" s="10">
        <v>14.66067492</v>
      </c>
    </row>
    <row r="52" spans="1:34" x14ac:dyDescent="0.3">
      <c r="A52" t="s">
        <v>112</v>
      </c>
      <c r="B52">
        <v>5000</v>
      </c>
      <c r="C52">
        <v>47.2</v>
      </c>
      <c r="D52">
        <v>24.75</v>
      </c>
      <c r="E52">
        <v>20</v>
      </c>
      <c r="F52">
        <v>11.85</v>
      </c>
      <c r="G52">
        <v>7</v>
      </c>
      <c r="H52">
        <v>0.4</v>
      </c>
      <c r="I52">
        <v>40.835999999999999</v>
      </c>
      <c r="J52">
        <v>31.187999999999999</v>
      </c>
      <c r="K52">
        <v>15.83</v>
      </c>
      <c r="L52" s="19">
        <f t="shared" si="0"/>
        <v>10.351175405468174</v>
      </c>
      <c r="M52">
        <v>28.37</v>
      </c>
      <c r="N52" s="19">
        <f t="shared" si="1"/>
        <v>14.691343531199349</v>
      </c>
      <c r="O52">
        <v>-1.5</v>
      </c>
      <c r="P52">
        <v>2.9</v>
      </c>
      <c r="Q52">
        <v>1.2</v>
      </c>
      <c r="R52">
        <v>0.4</v>
      </c>
      <c r="S52">
        <v>0.03</v>
      </c>
      <c r="T52">
        <v>0.03</v>
      </c>
      <c r="U52">
        <v>0.5</v>
      </c>
      <c r="V52">
        <v>0.5</v>
      </c>
      <c r="W52">
        <v>50</v>
      </c>
      <c r="X52">
        <v>40</v>
      </c>
      <c r="Y52" s="10">
        <v>6.8980052460000003</v>
      </c>
      <c r="Z52" s="10">
        <v>0</v>
      </c>
      <c r="AA52" s="10">
        <v>3.1159860410000002</v>
      </c>
      <c r="AB52" s="10">
        <v>5.3021815720000003</v>
      </c>
      <c r="AC52" s="10">
        <v>2.7719301280000002</v>
      </c>
      <c r="AD52" s="10">
        <v>7.7792078050000004</v>
      </c>
      <c r="AE52" s="10">
        <v>2.2724080259999999</v>
      </c>
      <c r="AF52" s="10">
        <v>9.286707625</v>
      </c>
      <c r="AG52" s="10">
        <v>0</v>
      </c>
      <c r="AH52" s="10">
        <v>12.217229100000001</v>
      </c>
    </row>
    <row r="53" spans="1:34" x14ac:dyDescent="0.3">
      <c r="A53" t="s">
        <v>112</v>
      </c>
      <c r="B53">
        <v>4000</v>
      </c>
      <c r="C53">
        <v>47.2</v>
      </c>
      <c r="D53">
        <v>24.75</v>
      </c>
      <c r="E53">
        <v>20</v>
      </c>
      <c r="F53">
        <v>11.85</v>
      </c>
      <c r="G53">
        <v>7</v>
      </c>
      <c r="H53">
        <v>0.4</v>
      </c>
      <c r="I53">
        <v>40.835999999999999</v>
      </c>
      <c r="J53">
        <v>31.187999999999999</v>
      </c>
      <c r="K53">
        <v>15.83</v>
      </c>
      <c r="L53" s="19">
        <f t="shared" si="0"/>
        <v>10.351175405468174</v>
      </c>
      <c r="M53">
        <v>28.37</v>
      </c>
      <c r="N53" s="19">
        <f t="shared" si="1"/>
        <v>14.691343531199349</v>
      </c>
      <c r="O53">
        <v>-1.5</v>
      </c>
      <c r="P53">
        <v>2.9</v>
      </c>
      <c r="Q53">
        <v>1.2</v>
      </c>
      <c r="R53">
        <v>0.4</v>
      </c>
      <c r="S53">
        <v>0.03</v>
      </c>
      <c r="T53">
        <v>0.03</v>
      </c>
      <c r="U53">
        <v>0.5</v>
      </c>
      <c r="V53">
        <v>0.5</v>
      </c>
      <c r="W53">
        <v>50</v>
      </c>
      <c r="X53">
        <v>40</v>
      </c>
      <c r="Y53" s="10">
        <v>4.4147233579999998</v>
      </c>
      <c r="Z53" s="10">
        <v>0</v>
      </c>
      <c r="AA53" s="10">
        <v>1.994231066</v>
      </c>
      <c r="AB53" s="10">
        <v>4.2417452579999999</v>
      </c>
      <c r="AC53" s="10">
        <v>1.774035282</v>
      </c>
      <c r="AD53" s="10">
        <v>6.2233662440000002</v>
      </c>
      <c r="AE53" s="10">
        <v>1.454341136</v>
      </c>
      <c r="AF53" s="10">
        <v>7.4293661000000002</v>
      </c>
      <c r="AG53" s="10">
        <v>0</v>
      </c>
      <c r="AH53" s="10">
        <v>9.77378328</v>
      </c>
    </row>
    <row r="54" spans="1:34" x14ac:dyDescent="0.3">
      <c r="A54" t="s">
        <v>113</v>
      </c>
      <c r="B54">
        <v>7000</v>
      </c>
      <c r="C54">
        <v>47</v>
      </c>
      <c r="D54">
        <v>20.5</v>
      </c>
      <c r="E54">
        <v>15</v>
      </c>
      <c r="F54">
        <v>10.15</v>
      </c>
      <c r="G54">
        <v>5</v>
      </c>
      <c r="H54">
        <v>0.5</v>
      </c>
      <c r="I54">
        <v>37</v>
      </c>
      <c r="J54">
        <v>19</v>
      </c>
      <c r="K54">
        <v>16.8</v>
      </c>
      <c r="L54" s="19">
        <f t="shared" si="0"/>
        <v>10.110492388954411</v>
      </c>
      <c r="M54">
        <v>28</v>
      </c>
      <c r="N54" s="19">
        <f t="shared" si="1"/>
        <v>9.1159083248003867</v>
      </c>
      <c r="O54">
        <v>0</v>
      </c>
      <c r="P54">
        <v>0</v>
      </c>
      <c r="Q54">
        <v>0.9</v>
      </c>
      <c r="R54">
        <v>0.4</v>
      </c>
      <c r="S54">
        <v>5.6000000000000001E-2</v>
      </c>
      <c r="T54">
        <v>4.8000000000000001E-2</v>
      </c>
      <c r="U54">
        <v>0.48</v>
      </c>
      <c r="V54">
        <v>0.5</v>
      </c>
      <c r="W54">
        <v>50</v>
      </c>
      <c r="X54">
        <v>10</v>
      </c>
      <c r="Y54" s="10">
        <v>10.69</v>
      </c>
      <c r="Z54" s="10">
        <v>0</v>
      </c>
      <c r="AA54" s="10">
        <v>4.7149999999999999</v>
      </c>
      <c r="AB54" s="10">
        <v>5.9690000000000003</v>
      </c>
      <c r="AC54" s="10">
        <v>3.9670000000000001</v>
      </c>
      <c r="AD54" s="10">
        <v>8.9540000000000006</v>
      </c>
      <c r="AE54" s="10">
        <v>2.9660000000000002</v>
      </c>
      <c r="AF54" s="10">
        <v>10.968</v>
      </c>
      <c r="AG54" s="10">
        <v>0</v>
      </c>
      <c r="AH54" s="10">
        <v>14.672000000000001</v>
      </c>
    </row>
    <row r="55" spans="1:34" x14ac:dyDescent="0.3">
      <c r="A55" t="s">
        <v>113</v>
      </c>
      <c r="B55">
        <v>6000</v>
      </c>
      <c r="C55">
        <v>47</v>
      </c>
      <c r="D55">
        <v>20.5</v>
      </c>
      <c r="E55">
        <v>15</v>
      </c>
      <c r="F55">
        <v>10.15</v>
      </c>
      <c r="G55">
        <v>5</v>
      </c>
      <c r="H55">
        <v>0.5</v>
      </c>
      <c r="I55">
        <v>37</v>
      </c>
      <c r="J55">
        <v>19</v>
      </c>
      <c r="K55">
        <v>16.8</v>
      </c>
      <c r="L55" s="19">
        <f t="shared" si="0"/>
        <v>10.110492388954411</v>
      </c>
      <c r="M55">
        <v>28</v>
      </c>
      <c r="N55" s="19">
        <f t="shared" si="1"/>
        <v>9.1159083248003867</v>
      </c>
      <c r="O55">
        <v>0</v>
      </c>
      <c r="P55">
        <v>0</v>
      </c>
      <c r="Q55">
        <v>0.9</v>
      </c>
      <c r="R55">
        <v>0.4</v>
      </c>
      <c r="S55">
        <v>5.6000000000000001E-2</v>
      </c>
      <c r="T55">
        <v>4.8000000000000001E-2</v>
      </c>
      <c r="U55">
        <v>0.48</v>
      </c>
      <c r="V55">
        <v>0.5</v>
      </c>
      <c r="W55">
        <v>50</v>
      </c>
      <c r="X55">
        <v>10</v>
      </c>
      <c r="Y55" s="10">
        <v>7.8538775510000001</v>
      </c>
      <c r="Z55" s="10">
        <v>0</v>
      </c>
      <c r="AA55" s="10">
        <v>3.4640816330000002</v>
      </c>
      <c r="AB55" s="10">
        <v>5.116285714</v>
      </c>
      <c r="AC55" s="10">
        <v>2.9145306120000001</v>
      </c>
      <c r="AD55" s="10">
        <v>7.6748571429999997</v>
      </c>
      <c r="AE55" s="10">
        <v>2.1791020410000002</v>
      </c>
      <c r="AF55" s="10">
        <v>9.401142857</v>
      </c>
      <c r="AG55" s="10">
        <v>0</v>
      </c>
      <c r="AH55" s="10">
        <v>12.576000000000001</v>
      </c>
    </row>
    <row r="56" spans="1:34" x14ac:dyDescent="0.3">
      <c r="A56" t="s">
        <v>114</v>
      </c>
      <c r="B56">
        <v>5000</v>
      </c>
      <c r="C56">
        <v>47</v>
      </c>
      <c r="D56">
        <v>20.5</v>
      </c>
      <c r="E56">
        <v>15</v>
      </c>
      <c r="F56">
        <v>10.15</v>
      </c>
      <c r="G56">
        <v>5</v>
      </c>
      <c r="H56">
        <v>0.5</v>
      </c>
      <c r="I56">
        <v>37</v>
      </c>
      <c r="J56">
        <v>19</v>
      </c>
      <c r="K56">
        <v>16.8</v>
      </c>
      <c r="L56" s="19">
        <f t="shared" si="0"/>
        <v>10.110492388954411</v>
      </c>
      <c r="M56">
        <v>28</v>
      </c>
      <c r="N56" s="19">
        <f t="shared" si="1"/>
        <v>9.1159083248003867</v>
      </c>
      <c r="O56">
        <v>0</v>
      </c>
      <c r="P56">
        <v>0</v>
      </c>
      <c r="Q56">
        <v>0.9</v>
      </c>
      <c r="R56">
        <v>0.4</v>
      </c>
      <c r="S56">
        <v>5.6000000000000001E-2</v>
      </c>
      <c r="T56">
        <v>4.8000000000000001E-2</v>
      </c>
      <c r="U56">
        <v>0.48</v>
      </c>
      <c r="V56">
        <v>0.5</v>
      </c>
      <c r="W56">
        <v>50</v>
      </c>
      <c r="X56">
        <v>10</v>
      </c>
      <c r="Y56" s="10">
        <v>5.4540816330000004</v>
      </c>
      <c r="Z56" s="10">
        <v>0</v>
      </c>
      <c r="AA56" s="10">
        <v>2.4056122449999999</v>
      </c>
      <c r="AB56" s="10">
        <v>4.2635714289999997</v>
      </c>
      <c r="AC56" s="10">
        <v>2.0239795919999999</v>
      </c>
      <c r="AD56" s="10">
        <v>6.3957142859999996</v>
      </c>
      <c r="AE56" s="10">
        <v>1.5132653060000001</v>
      </c>
      <c r="AF56" s="10">
        <v>7.834285714</v>
      </c>
      <c r="AG56" s="10">
        <v>0</v>
      </c>
      <c r="AH56" s="10">
        <v>10.48</v>
      </c>
    </row>
    <row r="57" spans="1:34" x14ac:dyDescent="0.3">
      <c r="A57" t="s">
        <v>114</v>
      </c>
      <c r="B57">
        <v>4000</v>
      </c>
      <c r="C57">
        <v>47</v>
      </c>
      <c r="D57">
        <v>20.5</v>
      </c>
      <c r="E57">
        <v>15</v>
      </c>
      <c r="F57">
        <v>10.15</v>
      </c>
      <c r="G57">
        <v>5</v>
      </c>
      <c r="H57">
        <v>0.5</v>
      </c>
      <c r="I57">
        <v>37</v>
      </c>
      <c r="J57">
        <v>19</v>
      </c>
      <c r="K57">
        <v>16.8</v>
      </c>
      <c r="L57" s="19">
        <f t="shared" si="0"/>
        <v>10.110492388954411</v>
      </c>
      <c r="M57">
        <v>28</v>
      </c>
      <c r="N57" s="19">
        <f t="shared" si="1"/>
        <v>9.1159083248003867</v>
      </c>
      <c r="O57">
        <v>0</v>
      </c>
      <c r="P57">
        <v>0</v>
      </c>
      <c r="Q57">
        <v>0.9</v>
      </c>
      <c r="R57">
        <v>0.4</v>
      </c>
      <c r="S57">
        <v>5.6000000000000001E-2</v>
      </c>
      <c r="T57">
        <v>4.8000000000000001E-2</v>
      </c>
      <c r="U57">
        <v>0.48</v>
      </c>
      <c r="V57">
        <v>0.5</v>
      </c>
      <c r="W57">
        <v>50</v>
      </c>
      <c r="X57">
        <v>10</v>
      </c>
      <c r="Y57" s="10">
        <v>3.4906122449999999</v>
      </c>
      <c r="Z57" s="10">
        <v>0</v>
      </c>
      <c r="AA57" s="10">
        <v>1.5395918369999999</v>
      </c>
      <c r="AB57" s="10">
        <v>3.4108571429999999</v>
      </c>
      <c r="AC57" s="10">
        <v>1.2953469390000001</v>
      </c>
      <c r="AD57" s="10">
        <v>5.1165714290000004</v>
      </c>
      <c r="AE57" s="10">
        <v>0.96848979599999996</v>
      </c>
      <c r="AF57" s="10">
        <v>6.2674285709999999</v>
      </c>
      <c r="AG57" s="10">
        <v>0</v>
      </c>
      <c r="AH57" s="10">
        <v>8.3840000000000003</v>
      </c>
    </row>
    <row r="58" spans="1:34" x14ac:dyDescent="0.3">
      <c r="A58" t="s">
        <v>115</v>
      </c>
      <c r="B58">
        <v>7000</v>
      </c>
      <c r="C58">
        <v>47</v>
      </c>
      <c r="D58">
        <v>20.5</v>
      </c>
      <c r="E58">
        <v>15</v>
      </c>
      <c r="F58">
        <v>10.15</v>
      </c>
      <c r="G58">
        <v>5</v>
      </c>
      <c r="H58">
        <v>0.5</v>
      </c>
      <c r="I58">
        <v>41.5</v>
      </c>
      <c r="J58">
        <v>13.6</v>
      </c>
      <c r="K58">
        <v>14</v>
      </c>
      <c r="L58" s="19">
        <f t="shared" si="0"/>
        <v>9.2766806750203248</v>
      </c>
      <c r="M58">
        <v>27</v>
      </c>
      <c r="N58" s="19">
        <f t="shared" si="1"/>
        <v>6.3488370537699303</v>
      </c>
      <c r="O58">
        <v>-1</v>
      </c>
      <c r="P58">
        <v>0</v>
      </c>
      <c r="Q58">
        <v>0.9</v>
      </c>
      <c r="R58">
        <v>0.4</v>
      </c>
      <c r="S58">
        <v>0.06</v>
      </c>
      <c r="T58">
        <v>0.03</v>
      </c>
      <c r="U58">
        <v>0.56999999999999995</v>
      </c>
      <c r="V58">
        <v>0.6</v>
      </c>
      <c r="W58">
        <v>50</v>
      </c>
      <c r="X58">
        <v>10</v>
      </c>
      <c r="Y58" s="10">
        <v>9.5299999999999994</v>
      </c>
      <c r="Z58" s="10">
        <v>0</v>
      </c>
      <c r="AA58" s="10">
        <v>3.831</v>
      </c>
      <c r="AB58" s="10">
        <v>6.9039999999999999</v>
      </c>
      <c r="AC58" s="10">
        <v>3.0129999999999999</v>
      </c>
      <c r="AD58" s="10">
        <v>8.9580000000000002</v>
      </c>
      <c r="AE58" s="10">
        <v>2.5169999999999999</v>
      </c>
      <c r="AF58" s="10">
        <v>9.9550000000000001</v>
      </c>
      <c r="AG58" s="10">
        <v>0</v>
      </c>
      <c r="AH58" s="10">
        <v>13.321</v>
      </c>
    </row>
    <row r="59" spans="1:34" x14ac:dyDescent="0.3">
      <c r="A59" t="s">
        <v>115</v>
      </c>
      <c r="B59">
        <v>6000</v>
      </c>
      <c r="C59">
        <v>47</v>
      </c>
      <c r="D59">
        <v>20.5</v>
      </c>
      <c r="E59">
        <v>15</v>
      </c>
      <c r="F59">
        <v>10.15</v>
      </c>
      <c r="G59">
        <v>5</v>
      </c>
      <c r="H59">
        <v>0.5</v>
      </c>
      <c r="I59">
        <v>41.5</v>
      </c>
      <c r="J59">
        <v>13.6</v>
      </c>
      <c r="K59">
        <v>14</v>
      </c>
      <c r="L59" s="19">
        <f t="shared" si="0"/>
        <v>9.2766806750203248</v>
      </c>
      <c r="M59">
        <v>27</v>
      </c>
      <c r="N59" s="19">
        <f t="shared" si="1"/>
        <v>6.3488370537699303</v>
      </c>
      <c r="O59">
        <v>-1</v>
      </c>
      <c r="P59">
        <v>0</v>
      </c>
      <c r="Q59">
        <v>0.9</v>
      </c>
      <c r="R59">
        <v>0.4</v>
      </c>
      <c r="S59">
        <v>0.06</v>
      </c>
      <c r="T59">
        <v>0.03</v>
      </c>
      <c r="U59">
        <v>0.56999999999999995</v>
      </c>
      <c r="V59">
        <v>0.6</v>
      </c>
      <c r="W59">
        <v>50</v>
      </c>
      <c r="X59">
        <v>10</v>
      </c>
      <c r="Y59" s="10">
        <v>7.0016326529999997</v>
      </c>
      <c r="Z59" s="10">
        <v>0</v>
      </c>
      <c r="AA59" s="10">
        <v>2.8146122450000002</v>
      </c>
      <c r="AB59" s="10">
        <v>5.9177142859999998</v>
      </c>
      <c r="AC59" s="10">
        <v>2.2136326529999999</v>
      </c>
      <c r="AD59" s="10">
        <v>7.6782857140000003</v>
      </c>
      <c r="AE59" s="10">
        <v>1.8492244900000001</v>
      </c>
      <c r="AF59" s="10">
        <v>8.5328571429999993</v>
      </c>
      <c r="AG59" s="10">
        <v>0</v>
      </c>
      <c r="AH59" s="10">
        <v>11.417999999999999</v>
      </c>
    </row>
    <row r="60" spans="1:34" x14ac:dyDescent="0.3">
      <c r="A60" t="s">
        <v>116</v>
      </c>
      <c r="B60">
        <v>5000</v>
      </c>
      <c r="C60">
        <v>47</v>
      </c>
      <c r="D60">
        <v>20.5</v>
      </c>
      <c r="E60">
        <v>15</v>
      </c>
      <c r="F60">
        <v>10.15</v>
      </c>
      <c r="G60">
        <v>5</v>
      </c>
      <c r="H60">
        <v>0.5</v>
      </c>
      <c r="I60">
        <v>41.5</v>
      </c>
      <c r="J60">
        <v>13.6</v>
      </c>
      <c r="K60">
        <v>14</v>
      </c>
      <c r="L60" s="19">
        <f t="shared" si="0"/>
        <v>9.2766806750203248</v>
      </c>
      <c r="M60">
        <v>27</v>
      </c>
      <c r="N60" s="19">
        <f t="shared" si="1"/>
        <v>6.3488370537699303</v>
      </c>
      <c r="O60">
        <v>-1</v>
      </c>
      <c r="P60">
        <v>0</v>
      </c>
      <c r="Q60">
        <v>0.9</v>
      </c>
      <c r="R60">
        <v>0.4</v>
      </c>
      <c r="S60">
        <v>0.06</v>
      </c>
      <c r="T60">
        <v>0.03</v>
      </c>
      <c r="U60">
        <v>0.56999999999999995</v>
      </c>
      <c r="V60">
        <v>0.6</v>
      </c>
      <c r="W60">
        <v>50</v>
      </c>
      <c r="X60">
        <v>10</v>
      </c>
      <c r="Y60" s="10">
        <v>4.8622448980000001</v>
      </c>
      <c r="Z60" s="10">
        <v>0</v>
      </c>
      <c r="AA60" s="10">
        <v>1.9545918369999999</v>
      </c>
      <c r="AB60" s="10">
        <v>4.9314285709999996</v>
      </c>
      <c r="AC60" s="10">
        <v>1.537244898</v>
      </c>
      <c r="AD60" s="10">
        <v>6.3985714290000004</v>
      </c>
      <c r="AE60" s="10">
        <v>1.284183673</v>
      </c>
      <c r="AF60" s="10">
        <v>7.1107142860000003</v>
      </c>
      <c r="AG60" s="10">
        <v>0</v>
      </c>
      <c r="AH60" s="10">
        <v>9.5150000000000006</v>
      </c>
    </row>
    <row r="61" spans="1:34" x14ac:dyDescent="0.3">
      <c r="A61" t="s">
        <v>116</v>
      </c>
      <c r="B61">
        <v>4000</v>
      </c>
      <c r="C61">
        <v>47</v>
      </c>
      <c r="D61">
        <v>20.5</v>
      </c>
      <c r="E61">
        <v>15</v>
      </c>
      <c r="F61">
        <v>10.15</v>
      </c>
      <c r="G61">
        <v>5</v>
      </c>
      <c r="H61">
        <v>0.5</v>
      </c>
      <c r="I61">
        <v>41.5</v>
      </c>
      <c r="J61">
        <v>13.6</v>
      </c>
      <c r="K61">
        <v>14</v>
      </c>
      <c r="L61" s="19">
        <f t="shared" si="0"/>
        <v>9.2766806750203248</v>
      </c>
      <c r="M61">
        <v>27</v>
      </c>
      <c r="N61" s="19">
        <f t="shared" si="1"/>
        <v>6.3488370537699303</v>
      </c>
      <c r="O61">
        <v>-1</v>
      </c>
      <c r="P61">
        <v>0</v>
      </c>
      <c r="Q61">
        <v>0.9</v>
      </c>
      <c r="R61">
        <v>0.4</v>
      </c>
      <c r="S61">
        <v>0.06</v>
      </c>
      <c r="T61">
        <v>0.03</v>
      </c>
      <c r="U61">
        <v>0.56999999999999995</v>
      </c>
      <c r="V61">
        <v>0.6</v>
      </c>
      <c r="W61">
        <v>50</v>
      </c>
      <c r="X61">
        <v>10</v>
      </c>
      <c r="Y61" s="10">
        <v>3.1118367349999998</v>
      </c>
      <c r="Z61" s="10">
        <v>0</v>
      </c>
      <c r="AA61" s="10">
        <v>1.2509387759999999</v>
      </c>
      <c r="AB61" s="10">
        <v>3.945142857</v>
      </c>
      <c r="AC61" s="10">
        <v>0.98383673500000002</v>
      </c>
      <c r="AD61" s="10">
        <v>5.1188571429999996</v>
      </c>
      <c r="AE61" s="10">
        <v>0.82187755100000004</v>
      </c>
      <c r="AF61" s="10">
        <v>5.6885714289999996</v>
      </c>
      <c r="AG61" s="10">
        <v>0</v>
      </c>
      <c r="AH61" s="10">
        <v>7.6120000000000001</v>
      </c>
    </row>
    <row r="62" spans="1:34" x14ac:dyDescent="0.3">
      <c r="A62" t="s">
        <v>117</v>
      </c>
      <c r="B62">
        <v>7500</v>
      </c>
      <c r="C62">
        <v>36.4</v>
      </c>
      <c r="D62">
        <v>18.600000000000001</v>
      </c>
      <c r="E62">
        <v>20</v>
      </c>
      <c r="F62">
        <v>13</v>
      </c>
      <c r="G62">
        <v>3</v>
      </c>
      <c r="H62">
        <v>0.6</v>
      </c>
      <c r="I62">
        <v>36.4</v>
      </c>
      <c r="J62">
        <v>30.9</v>
      </c>
      <c r="K62">
        <v>13.144172149999999</v>
      </c>
      <c r="L62" s="19">
        <f t="shared" si="0"/>
        <v>7.8000000025803802</v>
      </c>
      <c r="M62">
        <v>24.632899999999999</v>
      </c>
      <c r="N62" s="19">
        <f t="shared" si="1"/>
        <v>12.650010307823695</v>
      </c>
      <c r="O62">
        <v>-5.82</v>
      </c>
      <c r="P62">
        <v>-0.64</v>
      </c>
      <c r="Q62">
        <v>1.3</v>
      </c>
      <c r="R62">
        <v>0.65</v>
      </c>
      <c r="S62">
        <v>0.01</v>
      </c>
      <c r="T62">
        <v>0.03</v>
      </c>
      <c r="U62">
        <v>0.5</v>
      </c>
      <c r="V62">
        <v>0.25</v>
      </c>
      <c r="W62">
        <v>45</v>
      </c>
      <c r="X62">
        <v>1000</v>
      </c>
      <c r="Y62" s="10">
        <v>6.9799573119999998</v>
      </c>
      <c r="Z62" s="10">
        <v>0</v>
      </c>
      <c r="AA62" s="10">
        <v>2.74676177</v>
      </c>
      <c r="AB62" s="10">
        <v>3.674708914</v>
      </c>
      <c r="AC62" s="10">
        <v>2.3537287459999998</v>
      </c>
      <c r="AD62" s="10">
        <v>4.6661026659999996</v>
      </c>
      <c r="AE62" s="10">
        <v>2.0843292889999998</v>
      </c>
      <c r="AF62" s="10">
        <v>6.6702612480000001</v>
      </c>
      <c r="AG62" s="10">
        <v>0</v>
      </c>
      <c r="AH62" s="10">
        <v>9.118736212</v>
      </c>
    </row>
    <row r="63" spans="1:34" x14ac:dyDescent="0.3">
      <c r="A63" t="s">
        <v>117</v>
      </c>
      <c r="B63">
        <v>6000</v>
      </c>
      <c r="C63">
        <v>36.4</v>
      </c>
      <c r="D63">
        <v>18.600000000000001</v>
      </c>
      <c r="E63">
        <v>20</v>
      </c>
      <c r="F63">
        <v>13</v>
      </c>
      <c r="G63">
        <v>3</v>
      </c>
      <c r="H63">
        <v>0.6</v>
      </c>
      <c r="I63">
        <v>36.4</v>
      </c>
      <c r="J63">
        <v>30.9</v>
      </c>
      <c r="K63">
        <v>13.144172149999999</v>
      </c>
      <c r="L63" s="19">
        <f t="shared" si="0"/>
        <v>7.8000000025803802</v>
      </c>
      <c r="M63">
        <v>24.632899999999999</v>
      </c>
      <c r="N63" s="19">
        <f t="shared" si="1"/>
        <v>12.650010307823695</v>
      </c>
      <c r="O63">
        <v>-5.82</v>
      </c>
      <c r="P63">
        <v>-0.64</v>
      </c>
      <c r="Q63">
        <v>1.3</v>
      </c>
      <c r="R63">
        <v>0.65</v>
      </c>
      <c r="S63">
        <v>0.01</v>
      </c>
      <c r="T63">
        <v>0.03</v>
      </c>
      <c r="U63">
        <v>0.5</v>
      </c>
      <c r="V63">
        <v>0.25</v>
      </c>
      <c r="W63">
        <v>45</v>
      </c>
      <c r="X63">
        <v>1000</v>
      </c>
      <c r="Y63" s="10">
        <v>4.46717268</v>
      </c>
      <c r="Z63" s="10">
        <v>0</v>
      </c>
      <c r="AA63" s="10">
        <v>1.7579275329999999</v>
      </c>
      <c r="AB63" s="10">
        <v>2.939767131</v>
      </c>
      <c r="AC63" s="10">
        <v>1.5063863980000001</v>
      </c>
      <c r="AD63" s="10">
        <v>3.7328821329999999</v>
      </c>
      <c r="AE63" s="10">
        <v>1.333970745</v>
      </c>
      <c r="AF63" s="10">
        <v>5.336208998</v>
      </c>
      <c r="AG63" s="10">
        <v>0</v>
      </c>
      <c r="AH63" s="10">
        <v>7.2949889690000003</v>
      </c>
    </row>
    <row r="64" spans="1:34" x14ac:dyDescent="0.3">
      <c r="A64" t="s">
        <v>118</v>
      </c>
      <c r="B64">
        <v>5000</v>
      </c>
      <c r="C64">
        <v>36.4</v>
      </c>
      <c r="D64">
        <v>18.600000000000001</v>
      </c>
      <c r="E64">
        <v>20</v>
      </c>
      <c r="F64">
        <v>13</v>
      </c>
      <c r="G64">
        <v>3</v>
      </c>
      <c r="H64">
        <v>0.6</v>
      </c>
      <c r="I64">
        <v>36.4</v>
      </c>
      <c r="J64">
        <v>30.9</v>
      </c>
      <c r="K64">
        <v>13.144172149999999</v>
      </c>
      <c r="L64" s="19">
        <f t="shared" si="0"/>
        <v>7.8000000025803802</v>
      </c>
      <c r="M64">
        <v>24.632899999999999</v>
      </c>
      <c r="N64" s="19">
        <f t="shared" si="1"/>
        <v>12.650010307823695</v>
      </c>
      <c r="O64">
        <v>-5.82</v>
      </c>
      <c r="P64">
        <v>-0.64</v>
      </c>
      <c r="Q64">
        <v>1.3</v>
      </c>
      <c r="R64">
        <v>0.65</v>
      </c>
      <c r="S64">
        <v>0.01</v>
      </c>
      <c r="T64">
        <v>0.03</v>
      </c>
      <c r="U64">
        <v>0.5</v>
      </c>
      <c r="V64">
        <v>0.25</v>
      </c>
      <c r="W64">
        <v>45</v>
      </c>
      <c r="X64">
        <v>1000</v>
      </c>
      <c r="Y64" s="10">
        <v>3.1022032500000001</v>
      </c>
      <c r="Z64" s="10">
        <v>0</v>
      </c>
      <c r="AA64" s="10">
        <v>1.220783009</v>
      </c>
      <c r="AB64" s="10">
        <v>2.4498059429999999</v>
      </c>
      <c r="AC64" s="10">
        <v>1.0461016649999999</v>
      </c>
      <c r="AD64" s="10">
        <v>3.1107351109999999</v>
      </c>
      <c r="AE64" s="10">
        <v>0.92636857299999997</v>
      </c>
      <c r="AF64" s="10">
        <v>4.4468408320000004</v>
      </c>
      <c r="AG64" s="10">
        <v>0</v>
      </c>
      <c r="AH64" s="10">
        <v>6.0791574739999996</v>
      </c>
    </row>
    <row r="65" spans="1:34" x14ac:dyDescent="0.3">
      <c r="A65" t="s">
        <v>118</v>
      </c>
      <c r="B65">
        <v>4000</v>
      </c>
      <c r="C65">
        <v>36.4</v>
      </c>
      <c r="D65">
        <v>18.600000000000001</v>
      </c>
      <c r="E65">
        <v>20</v>
      </c>
      <c r="F65">
        <v>13</v>
      </c>
      <c r="G65">
        <v>3</v>
      </c>
      <c r="H65">
        <v>0.6</v>
      </c>
      <c r="I65">
        <v>36.4</v>
      </c>
      <c r="J65">
        <v>30.9</v>
      </c>
      <c r="K65">
        <v>13.144172149999999</v>
      </c>
      <c r="L65" s="19">
        <f t="shared" si="0"/>
        <v>7.8000000025803802</v>
      </c>
      <c r="M65">
        <v>24.632899999999999</v>
      </c>
      <c r="N65" s="19">
        <f t="shared" si="1"/>
        <v>12.650010307823695</v>
      </c>
      <c r="O65">
        <v>-5.82</v>
      </c>
      <c r="P65">
        <v>-0.64</v>
      </c>
      <c r="Q65">
        <v>1.3</v>
      </c>
      <c r="R65">
        <v>0.65</v>
      </c>
      <c r="S65">
        <v>0.01</v>
      </c>
      <c r="T65">
        <v>0.03</v>
      </c>
      <c r="U65">
        <v>0.5</v>
      </c>
      <c r="V65">
        <v>0.25</v>
      </c>
      <c r="W65">
        <v>45</v>
      </c>
      <c r="X65">
        <v>1000</v>
      </c>
      <c r="Y65" s="10">
        <v>1.9854100800000001</v>
      </c>
      <c r="Z65" s="10">
        <v>0</v>
      </c>
      <c r="AA65" s="10">
        <v>0.78130112600000001</v>
      </c>
      <c r="AB65" s="10">
        <v>1.9598447539999999</v>
      </c>
      <c r="AC65" s="10">
        <v>0.66950506600000004</v>
      </c>
      <c r="AD65" s="10">
        <v>2.4885880889999998</v>
      </c>
      <c r="AE65" s="10">
        <v>0.59287588700000005</v>
      </c>
      <c r="AF65" s="10">
        <v>3.5574726659999998</v>
      </c>
      <c r="AG65" s="10">
        <v>0</v>
      </c>
      <c r="AH65" s="10">
        <v>4.8633259789999999</v>
      </c>
    </row>
    <row r="66" spans="1:34" x14ac:dyDescent="0.3">
      <c r="A66" t="s">
        <v>119</v>
      </c>
      <c r="B66">
        <v>7000</v>
      </c>
      <c r="C66">
        <v>36.4</v>
      </c>
      <c r="D66">
        <v>18.600000000000001</v>
      </c>
      <c r="E66">
        <v>20</v>
      </c>
      <c r="F66">
        <v>13</v>
      </c>
      <c r="G66">
        <v>5</v>
      </c>
      <c r="H66">
        <v>0.6</v>
      </c>
      <c r="I66">
        <v>36.4</v>
      </c>
      <c r="J66">
        <v>30.9</v>
      </c>
      <c r="K66">
        <v>13.144172149999999</v>
      </c>
      <c r="L66" s="19">
        <f t="shared" si="0"/>
        <v>7.8000000025803802</v>
      </c>
      <c r="M66">
        <v>24.632899999999999</v>
      </c>
      <c r="N66" s="19">
        <f t="shared" si="1"/>
        <v>12.650010307823695</v>
      </c>
      <c r="O66">
        <v>-5.82</v>
      </c>
      <c r="P66">
        <v>-0.64</v>
      </c>
      <c r="Q66">
        <v>1.3</v>
      </c>
      <c r="R66">
        <v>0.65</v>
      </c>
      <c r="S66">
        <v>0.01</v>
      </c>
      <c r="T66">
        <v>0.03</v>
      </c>
      <c r="U66">
        <v>0.5</v>
      </c>
      <c r="V66">
        <v>0.25</v>
      </c>
      <c r="W66">
        <v>20</v>
      </c>
      <c r="X66">
        <v>1000</v>
      </c>
      <c r="Y66" s="10">
        <v>7.6141493489999998</v>
      </c>
      <c r="Z66" s="10">
        <v>0</v>
      </c>
      <c r="AA66" s="10">
        <v>2.170832592</v>
      </c>
      <c r="AB66" s="10">
        <v>4.1922621119999999</v>
      </c>
      <c r="AC66" s="10">
        <v>2.087926816</v>
      </c>
      <c r="AD66" s="10">
        <v>5.2007025029999996</v>
      </c>
      <c r="AE66" s="10">
        <v>1.8451435439999999</v>
      </c>
      <c r="AF66" s="10">
        <v>6.1199472989999997</v>
      </c>
      <c r="AG66" s="10">
        <v>0</v>
      </c>
      <c r="AH66" s="10">
        <v>8.3939054160000008</v>
      </c>
    </row>
    <row r="67" spans="1:34" x14ac:dyDescent="0.3">
      <c r="A67" t="s">
        <v>119</v>
      </c>
      <c r="B67">
        <v>6000</v>
      </c>
      <c r="C67">
        <v>36.4</v>
      </c>
      <c r="D67">
        <v>18.600000000000001</v>
      </c>
      <c r="E67">
        <v>20</v>
      </c>
      <c r="F67">
        <v>13</v>
      </c>
      <c r="G67">
        <v>5</v>
      </c>
      <c r="H67">
        <v>0.6</v>
      </c>
      <c r="I67">
        <v>36.4</v>
      </c>
      <c r="J67">
        <v>30.9</v>
      </c>
      <c r="K67">
        <v>13.144172149999999</v>
      </c>
      <c r="L67" s="19">
        <f t="shared" si="0"/>
        <v>7.8000000025803802</v>
      </c>
      <c r="M67">
        <v>24.632899999999999</v>
      </c>
      <c r="N67" s="19">
        <f t="shared" si="1"/>
        <v>12.650010307823695</v>
      </c>
      <c r="O67">
        <v>-5.82</v>
      </c>
      <c r="P67">
        <v>-0.64</v>
      </c>
      <c r="Q67">
        <v>1.3</v>
      </c>
      <c r="R67">
        <v>0.65</v>
      </c>
      <c r="S67">
        <v>0.01</v>
      </c>
      <c r="T67">
        <v>0.03</v>
      </c>
      <c r="U67">
        <v>0.5</v>
      </c>
      <c r="V67">
        <v>0.25</v>
      </c>
      <c r="W67">
        <v>20</v>
      </c>
      <c r="X67">
        <v>1000</v>
      </c>
      <c r="Y67" s="10">
        <v>5.5940689099999998</v>
      </c>
      <c r="Z67" s="10">
        <v>0</v>
      </c>
      <c r="AA67" s="10">
        <v>1.5948974149999999</v>
      </c>
      <c r="AB67" s="10">
        <v>3.5933675250000001</v>
      </c>
      <c r="AC67" s="10">
        <v>1.533987049</v>
      </c>
      <c r="AD67" s="10">
        <v>4.4577450030000003</v>
      </c>
      <c r="AE67" s="10">
        <v>1.355615665</v>
      </c>
      <c r="AF67" s="10">
        <v>5.2456691129999999</v>
      </c>
      <c r="AG67" s="10">
        <v>0</v>
      </c>
      <c r="AH67" s="10">
        <v>7.1947760709999997</v>
      </c>
    </row>
    <row r="68" spans="1:34" x14ac:dyDescent="0.3">
      <c r="A68" t="s">
        <v>120</v>
      </c>
      <c r="B68">
        <v>5000</v>
      </c>
      <c r="C68">
        <v>36.4</v>
      </c>
      <c r="D68">
        <v>18.600000000000001</v>
      </c>
      <c r="E68">
        <v>20</v>
      </c>
      <c r="F68">
        <v>13</v>
      </c>
      <c r="G68">
        <v>5</v>
      </c>
      <c r="H68">
        <v>0.6</v>
      </c>
      <c r="I68">
        <v>36.4</v>
      </c>
      <c r="J68">
        <v>30.9</v>
      </c>
      <c r="K68">
        <v>13.144172149999999</v>
      </c>
      <c r="L68" s="19">
        <f t="shared" ref="L68" si="2">K68*SIN(I68/180*PI())</f>
        <v>7.8000000025803802</v>
      </c>
      <c r="M68">
        <v>24.632899999999999</v>
      </c>
      <c r="N68" s="19">
        <f t="shared" ref="N68" si="3">M68*SIN(J68/180*PI())</f>
        <v>12.650010307823695</v>
      </c>
      <c r="O68">
        <v>-5.82</v>
      </c>
      <c r="P68">
        <v>-0.64</v>
      </c>
      <c r="Q68">
        <v>1.3</v>
      </c>
      <c r="R68">
        <v>0.65</v>
      </c>
      <c r="S68">
        <v>0.01</v>
      </c>
      <c r="T68">
        <v>0.03</v>
      </c>
      <c r="U68">
        <v>0.5</v>
      </c>
      <c r="V68">
        <v>0.25</v>
      </c>
      <c r="W68">
        <v>20</v>
      </c>
      <c r="X68">
        <v>1000</v>
      </c>
      <c r="Y68" s="10">
        <v>3.8847700760000001</v>
      </c>
      <c r="Z68" s="10">
        <v>0</v>
      </c>
      <c r="AA68" s="10">
        <v>1.1075676489999999</v>
      </c>
      <c r="AB68" s="10">
        <v>2.9944729369999998</v>
      </c>
      <c r="AC68" s="10">
        <v>1.0652687839999999</v>
      </c>
      <c r="AD68" s="10">
        <v>3.7147875020000001</v>
      </c>
      <c r="AE68" s="10">
        <v>0.94139976700000005</v>
      </c>
      <c r="AF68" s="10">
        <v>4.3713909280000003</v>
      </c>
      <c r="AG68" s="10">
        <v>0</v>
      </c>
      <c r="AH68" s="10">
        <v>5.9956467260000004</v>
      </c>
    </row>
    <row r="69" spans="1:34" x14ac:dyDescent="0.3">
      <c r="A69" t="s">
        <v>120</v>
      </c>
      <c r="B69">
        <v>4000</v>
      </c>
      <c r="C69">
        <v>36.4</v>
      </c>
      <c r="D69">
        <v>18.600000000000001</v>
      </c>
      <c r="E69">
        <v>20</v>
      </c>
      <c r="F69">
        <v>13</v>
      </c>
      <c r="G69">
        <v>5</v>
      </c>
      <c r="H69">
        <v>0.6</v>
      </c>
      <c r="I69">
        <v>36.4</v>
      </c>
      <c r="J69">
        <v>30.9</v>
      </c>
      <c r="K69">
        <v>13.144172149999999</v>
      </c>
      <c r="L69" s="19">
        <f>K69*SIN(I69/180*PI())</f>
        <v>7.8000000025803802</v>
      </c>
      <c r="M69">
        <v>24.632899999999999</v>
      </c>
      <c r="N69" s="19">
        <f>M69*SIN(J69/180*PI())</f>
        <v>12.650010307823695</v>
      </c>
      <c r="O69">
        <v>-5.82</v>
      </c>
      <c r="P69">
        <v>-0.64</v>
      </c>
      <c r="Q69">
        <v>1.3</v>
      </c>
      <c r="R69">
        <v>0.65</v>
      </c>
      <c r="S69">
        <v>0.01</v>
      </c>
      <c r="T69">
        <v>0.03</v>
      </c>
      <c r="U69">
        <v>0.5</v>
      </c>
      <c r="V69">
        <v>0.25</v>
      </c>
      <c r="W69">
        <v>20</v>
      </c>
      <c r="X69">
        <v>1000</v>
      </c>
      <c r="Y69" s="10">
        <v>2.486252849</v>
      </c>
      <c r="Z69" s="10">
        <v>0</v>
      </c>
      <c r="AA69" s="10">
        <v>0.70884329599999996</v>
      </c>
      <c r="AB69" s="10">
        <v>2.3955783500000001</v>
      </c>
      <c r="AC69" s="10">
        <v>0.68177202199999998</v>
      </c>
      <c r="AD69" s="10">
        <v>2.9718300019999999</v>
      </c>
      <c r="AE69" s="10">
        <v>0.60249585100000003</v>
      </c>
      <c r="AF69" s="10">
        <v>3.4971127420000001</v>
      </c>
      <c r="AG69" s="10">
        <v>0</v>
      </c>
      <c r="AH69" s="10">
        <v>4.7965173800000001</v>
      </c>
    </row>
    <row r="70" spans="1:34" s="23" customFormat="1" x14ac:dyDescent="0.3">
      <c r="A70" s="23" t="s">
        <v>121</v>
      </c>
      <c r="B70" s="23">
        <v>8000</v>
      </c>
      <c r="C70" s="23">
        <v>37.1</v>
      </c>
      <c r="D70" s="23">
        <v>18</v>
      </c>
      <c r="E70" s="23">
        <v>10</v>
      </c>
      <c r="F70" s="23">
        <v>6.55</v>
      </c>
      <c r="G70" s="23">
        <v>7</v>
      </c>
      <c r="H70" s="23">
        <v>0.7</v>
      </c>
      <c r="I70" s="23">
        <v>41</v>
      </c>
      <c r="J70" s="23">
        <v>30.05</v>
      </c>
      <c r="K70" s="23">
        <v>8.0792999999999999</v>
      </c>
      <c r="L70" s="23">
        <f>K70*SIN(I70/180*PI())</f>
        <v>5.3004977129230051</v>
      </c>
      <c r="M70" s="23">
        <v>13.38</v>
      </c>
      <c r="N70" s="23">
        <f>M70*SIN(J70/180*PI())</f>
        <v>6.7001093828091491</v>
      </c>
      <c r="O70" s="23">
        <v>-0.37</v>
      </c>
      <c r="P70" s="23">
        <v>-1.35</v>
      </c>
      <c r="Q70" s="23">
        <v>1</v>
      </c>
      <c r="R70" s="23">
        <v>0.4</v>
      </c>
      <c r="S70" s="23">
        <v>5.0000000000000001E-3</v>
      </c>
      <c r="T70" s="23">
        <v>1.4999999999999999E-2</v>
      </c>
      <c r="U70" s="23">
        <v>0.5</v>
      </c>
      <c r="V70" s="23">
        <v>0.5</v>
      </c>
      <c r="W70" s="23">
        <v>15</v>
      </c>
      <c r="X70" s="23">
        <v>300</v>
      </c>
      <c r="Y70" s="24">
        <v>9.1509604959999997</v>
      </c>
      <c r="Z70" s="24">
        <v>0</v>
      </c>
      <c r="AA70" s="24">
        <v>2.4059071360000002</v>
      </c>
      <c r="AB70" s="24">
        <v>4.7311112450000001</v>
      </c>
      <c r="AC70" s="24">
        <v>1.6267449089999999</v>
      </c>
      <c r="AD70" s="24">
        <v>7.2292468459999997</v>
      </c>
      <c r="AE70" s="24">
        <v>1.2001916880000001</v>
      </c>
      <c r="AF70" s="24">
        <v>8.0417751309999996</v>
      </c>
      <c r="AG70" s="24">
        <v>0</v>
      </c>
      <c r="AH70" s="24">
        <v>9.0429999579999993</v>
      </c>
    </row>
    <row r="71" spans="1:34" s="23" customFormat="1" x14ac:dyDescent="0.3">
      <c r="A71" s="23" t="s">
        <v>121</v>
      </c>
      <c r="B71" s="23">
        <v>7000</v>
      </c>
      <c r="C71" s="23">
        <v>37.1</v>
      </c>
      <c r="D71" s="23">
        <v>18</v>
      </c>
      <c r="E71" s="23">
        <v>10</v>
      </c>
      <c r="F71" s="23">
        <v>6.55</v>
      </c>
      <c r="G71" s="23">
        <v>7</v>
      </c>
      <c r="H71" s="23">
        <v>0.7</v>
      </c>
      <c r="I71" s="23">
        <v>41</v>
      </c>
      <c r="J71" s="23">
        <v>30.05</v>
      </c>
      <c r="K71" s="23">
        <v>8.0792999999999999</v>
      </c>
      <c r="L71" s="23">
        <f t="shared" ref="L71:L134" si="4">K71*SIN(I71/180*PI())</f>
        <v>5.3004977129230051</v>
      </c>
      <c r="M71" s="23">
        <v>13.38</v>
      </c>
      <c r="N71" s="23">
        <f t="shared" ref="N71:N134" si="5">M71*SIN(J71/180*PI())</f>
        <v>6.7001093828091491</v>
      </c>
      <c r="O71" s="23">
        <v>-0.37</v>
      </c>
      <c r="P71" s="23">
        <v>-1.35</v>
      </c>
      <c r="Q71" s="23">
        <v>1</v>
      </c>
      <c r="R71" s="23">
        <v>0.4</v>
      </c>
      <c r="S71" s="23">
        <v>5.0000000000000001E-3</v>
      </c>
      <c r="T71" s="23">
        <v>1.4999999999999999E-2</v>
      </c>
      <c r="U71" s="23">
        <v>0.5</v>
      </c>
      <c r="V71" s="23">
        <v>0.5</v>
      </c>
      <c r="W71" s="23">
        <v>15</v>
      </c>
      <c r="X71" s="23">
        <v>300</v>
      </c>
      <c r="Y71" s="24">
        <v>7.0062041300000004</v>
      </c>
      <c r="Z71" s="24">
        <v>0</v>
      </c>
      <c r="AA71" s="24">
        <v>1.842022651</v>
      </c>
      <c r="AB71" s="24">
        <v>4.1397223399999996</v>
      </c>
      <c r="AC71" s="24">
        <v>1.245476571</v>
      </c>
      <c r="AD71" s="24">
        <v>6.3255909910000003</v>
      </c>
      <c r="AE71" s="24">
        <v>0.91889676099999995</v>
      </c>
      <c r="AF71" s="24">
        <v>7.0365532399999999</v>
      </c>
      <c r="AG71" s="24">
        <v>0</v>
      </c>
      <c r="AH71" s="24">
        <v>7.9126249629999998</v>
      </c>
    </row>
    <row r="72" spans="1:34" s="23" customFormat="1" x14ac:dyDescent="0.3">
      <c r="A72" s="23" t="s">
        <v>122</v>
      </c>
      <c r="B72" s="23">
        <v>6000</v>
      </c>
      <c r="C72" s="23">
        <v>37.1</v>
      </c>
      <c r="D72" s="23">
        <v>18</v>
      </c>
      <c r="E72" s="23">
        <v>10</v>
      </c>
      <c r="F72" s="23">
        <v>6.55</v>
      </c>
      <c r="G72" s="23">
        <v>7</v>
      </c>
      <c r="H72" s="23">
        <v>0.7</v>
      </c>
      <c r="I72" s="23">
        <v>41</v>
      </c>
      <c r="J72" s="23">
        <v>30.05</v>
      </c>
      <c r="K72" s="23">
        <v>8.0792999999999999</v>
      </c>
      <c r="L72" s="23">
        <f t="shared" si="4"/>
        <v>5.3004977129230051</v>
      </c>
      <c r="M72" s="23">
        <v>13.38</v>
      </c>
      <c r="N72" s="23">
        <f t="shared" si="5"/>
        <v>6.7001093828091491</v>
      </c>
      <c r="O72" s="23">
        <v>-0.37</v>
      </c>
      <c r="P72" s="23">
        <v>-1.35</v>
      </c>
      <c r="Q72" s="23">
        <v>1</v>
      </c>
      <c r="R72" s="23">
        <v>0.4</v>
      </c>
      <c r="S72" s="23">
        <v>5.0000000000000001E-3</v>
      </c>
      <c r="T72" s="23">
        <v>1.4999999999999999E-2</v>
      </c>
      <c r="U72" s="23">
        <v>0.5</v>
      </c>
      <c r="V72" s="23">
        <v>0.5</v>
      </c>
      <c r="W72" s="23">
        <v>15</v>
      </c>
      <c r="X72" s="23">
        <v>300</v>
      </c>
      <c r="Y72" s="24">
        <v>5.1474152789999996</v>
      </c>
      <c r="Z72" s="24">
        <v>0</v>
      </c>
      <c r="AA72" s="24">
        <v>1.3533227640000001</v>
      </c>
      <c r="AB72" s="24">
        <v>3.5483334339999999</v>
      </c>
      <c r="AC72" s="24">
        <v>0.91504401199999996</v>
      </c>
      <c r="AD72" s="24">
        <v>5.421935135</v>
      </c>
      <c r="AE72" s="24">
        <v>0.67510782400000002</v>
      </c>
      <c r="AF72" s="24">
        <v>6.0313313480000001</v>
      </c>
      <c r="AG72" s="24">
        <v>0</v>
      </c>
      <c r="AH72" s="24">
        <v>6.7822499680000004</v>
      </c>
    </row>
    <row r="73" spans="1:34" s="23" customFormat="1" x14ac:dyDescent="0.3">
      <c r="A73" s="23" t="s">
        <v>122</v>
      </c>
      <c r="B73" s="23">
        <v>5000</v>
      </c>
      <c r="C73" s="23">
        <v>37.1</v>
      </c>
      <c r="D73" s="23">
        <v>18</v>
      </c>
      <c r="E73" s="23">
        <v>10</v>
      </c>
      <c r="F73" s="23">
        <v>6.55</v>
      </c>
      <c r="G73" s="23">
        <v>7</v>
      </c>
      <c r="H73" s="23">
        <v>0.7</v>
      </c>
      <c r="I73" s="23">
        <v>41</v>
      </c>
      <c r="J73" s="23">
        <v>30.05</v>
      </c>
      <c r="K73" s="23">
        <v>8.0792999999999999</v>
      </c>
      <c r="L73" s="23">
        <f t="shared" si="4"/>
        <v>5.3004977129230051</v>
      </c>
      <c r="M73" s="23">
        <v>13.38</v>
      </c>
      <c r="N73" s="23">
        <f t="shared" si="5"/>
        <v>6.7001093828091491</v>
      </c>
      <c r="O73" s="23">
        <v>-0.37</v>
      </c>
      <c r="P73" s="23">
        <v>-1.35</v>
      </c>
      <c r="Q73" s="23">
        <v>1</v>
      </c>
      <c r="R73" s="23">
        <v>0.4</v>
      </c>
      <c r="S73" s="23">
        <v>5.0000000000000001E-3</v>
      </c>
      <c r="T73" s="23">
        <v>1.4999999999999999E-2</v>
      </c>
      <c r="U73" s="23">
        <v>0.5</v>
      </c>
      <c r="V73" s="23">
        <v>0.5</v>
      </c>
      <c r="W73" s="23">
        <v>15</v>
      </c>
      <c r="X73" s="23">
        <v>300</v>
      </c>
      <c r="Y73" s="24">
        <v>3.5745939440000001</v>
      </c>
      <c r="Z73" s="24">
        <v>0</v>
      </c>
      <c r="AA73" s="24">
        <v>0.93980747499999995</v>
      </c>
      <c r="AB73" s="24">
        <v>2.9569445280000002</v>
      </c>
      <c r="AC73" s="24">
        <v>0.63544723000000003</v>
      </c>
      <c r="AD73" s="24">
        <v>4.5182792789999997</v>
      </c>
      <c r="AE73" s="24">
        <v>0.468824878</v>
      </c>
      <c r="AF73" s="24">
        <v>5.0261094569999996</v>
      </c>
      <c r="AG73" s="24">
        <v>0</v>
      </c>
      <c r="AH73" s="24">
        <v>5.651874973</v>
      </c>
    </row>
    <row r="74" spans="1:34" x14ac:dyDescent="0.3">
      <c r="A74" t="s">
        <v>123</v>
      </c>
      <c r="B74">
        <v>7100</v>
      </c>
      <c r="C74">
        <v>37.700000000000003</v>
      </c>
      <c r="D74">
        <v>18</v>
      </c>
      <c r="E74">
        <v>20</v>
      </c>
      <c r="F74">
        <v>12.85</v>
      </c>
      <c r="G74">
        <v>5</v>
      </c>
      <c r="H74">
        <v>0.4</v>
      </c>
      <c r="I74">
        <v>45.6</v>
      </c>
      <c r="J74">
        <v>26.07</v>
      </c>
      <c r="K74">
        <v>14.337</v>
      </c>
      <c r="L74" s="19">
        <f t="shared" si="4"/>
        <v>10.243394807895502</v>
      </c>
      <c r="M74">
        <v>22.954000000000001</v>
      </c>
      <c r="N74" s="19">
        <f t="shared" si="5"/>
        <v>10.087569209386599</v>
      </c>
      <c r="O74">
        <v>-3.15</v>
      </c>
      <c r="P74">
        <v>-0.8</v>
      </c>
      <c r="Q74">
        <v>0.9</v>
      </c>
      <c r="R74">
        <v>0.4</v>
      </c>
      <c r="S74">
        <v>0.05</v>
      </c>
      <c r="T74">
        <v>4.4999999999999998E-2</v>
      </c>
      <c r="U74">
        <v>0.5</v>
      </c>
      <c r="V74">
        <v>0.5</v>
      </c>
      <c r="W74">
        <v>50</v>
      </c>
      <c r="X74">
        <v>20</v>
      </c>
      <c r="Y74" s="10">
        <v>7.4798384660000004</v>
      </c>
      <c r="Z74" s="10">
        <v>0</v>
      </c>
      <c r="AA74" s="10">
        <v>2.4497986639999998</v>
      </c>
      <c r="AB74" s="10">
        <v>4.5504820739999996</v>
      </c>
      <c r="AC74" s="10">
        <v>2.2172048769999999</v>
      </c>
      <c r="AD74" s="10">
        <v>5.6155474810000001</v>
      </c>
      <c r="AE74" s="10">
        <v>1.537722644</v>
      </c>
      <c r="AF74" s="10">
        <v>8.0585892440000002</v>
      </c>
      <c r="AG74" s="10">
        <v>0</v>
      </c>
      <c r="AH74" s="10">
        <v>10.091230120000001</v>
      </c>
    </row>
    <row r="75" spans="1:34" x14ac:dyDescent="0.3">
      <c r="A75" t="s">
        <v>124</v>
      </c>
      <c r="B75">
        <v>6000</v>
      </c>
      <c r="C75">
        <v>37.700000000000003</v>
      </c>
      <c r="D75">
        <v>18</v>
      </c>
      <c r="E75">
        <v>20</v>
      </c>
      <c r="F75">
        <v>12.85</v>
      </c>
      <c r="G75">
        <v>5</v>
      </c>
      <c r="H75">
        <v>0.4</v>
      </c>
      <c r="I75">
        <v>45.6</v>
      </c>
      <c r="J75">
        <v>26.07</v>
      </c>
      <c r="K75">
        <v>14.337</v>
      </c>
      <c r="L75" s="19">
        <f t="shared" si="4"/>
        <v>10.243394807895502</v>
      </c>
      <c r="M75">
        <v>22.954000000000001</v>
      </c>
      <c r="N75" s="19">
        <f t="shared" si="5"/>
        <v>10.087569209386599</v>
      </c>
      <c r="O75">
        <v>-3.15</v>
      </c>
      <c r="P75">
        <v>-0.8</v>
      </c>
      <c r="Q75">
        <v>0.9</v>
      </c>
      <c r="R75">
        <v>0.4</v>
      </c>
      <c r="S75">
        <v>0.05</v>
      </c>
      <c r="T75">
        <v>4.4999999999999998E-2</v>
      </c>
      <c r="U75">
        <v>0.5</v>
      </c>
      <c r="V75">
        <v>0.5</v>
      </c>
      <c r="W75">
        <v>50</v>
      </c>
      <c r="X75">
        <v>20</v>
      </c>
      <c r="Y75" s="10">
        <v>5.3416819039999996</v>
      </c>
      <c r="Z75" s="10">
        <v>0</v>
      </c>
      <c r="AA75" s="10">
        <v>1.7495090639999999</v>
      </c>
      <c r="AB75" s="10">
        <v>3.8454778090000001</v>
      </c>
      <c r="AC75" s="10">
        <v>1.583403602</v>
      </c>
      <c r="AD75" s="10">
        <v>4.7455330829999998</v>
      </c>
      <c r="AE75" s="10">
        <v>1.098155429</v>
      </c>
      <c r="AF75" s="10">
        <v>6.8100754180000003</v>
      </c>
      <c r="AG75" s="10">
        <v>0</v>
      </c>
      <c r="AH75" s="10">
        <v>8.5278001020000005</v>
      </c>
    </row>
    <row r="76" spans="1:34" x14ac:dyDescent="0.3">
      <c r="A76" t="s">
        <v>124</v>
      </c>
      <c r="B76">
        <v>5000</v>
      </c>
      <c r="C76">
        <v>37.700000000000003</v>
      </c>
      <c r="D76">
        <v>18</v>
      </c>
      <c r="E76">
        <v>20</v>
      </c>
      <c r="F76">
        <v>12.85</v>
      </c>
      <c r="G76">
        <v>5</v>
      </c>
      <c r="H76">
        <v>0.4</v>
      </c>
      <c r="I76">
        <v>45.6</v>
      </c>
      <c r="J76">
        <v>26.07</v>
      </c>
      <c r="K76">
        <v>14.337</v>
      </c>
      <c r="L76" s="19">
        <f t="shared" si="4"/>
        <v>10.243394807895502</v>
      </c>
      <c r="M76">
        <v>22.954000000000001</v>
      </c>
      <c r="N76" s="19">
        <f t="shared" si="5"/>
        <v>10.087569209386599</v>
      </c>
      <c r="O76">
        <v>-3.15</v>
      </c>
      <c r="P76">
        <v>-0.8</v>
      </c>
      <c r="Q76">
        <v>0.9</v>
      </c>
      <c r="R76">
        <v>0.4</v>
      </c>
      <c r="S76">
        <v>0.05</v>
      </c>
      <c r="T76">
        <v>4.4999999999999998E-2</v>
      </c>
      <c r="U76">
        <v>0.5</v>
      </c>
      <c r="V76">
        <v>0.5</v>
      </c>
      <c r="W76">
        <v>50</v>
      </c>
      <c r="X76">
        <v>20</v>
      </c>
      <c r="Y76" s="10">
        <v>3.7095013219999999</v>
      </c>
      <c r="Z76" s="10">
        <v>0</v>
      </c>
      <c r="AA76" s="10">
        <v>1.21493685</v>
      </c>
      <c r="AB76" s="10">
        <v>3.2045648409999998</v>
      </c>
      <c r="AC76" s="10">
        <v>1.0995858350000001</v>
      </c>
      <c r="AD76" s="10">
        <v>3.9546109020000002</v>
      </c>
      <c r="AE76" s="10">
        <v>0.76260793699999996</v>
      </c>
      <c r="AF76" s="10">
        <v>5.6750628479999996</v>
      </c>
      <c r="AG76" s="10">
        <v>0</v>
      </c>
      <c r="AH76" s="10">
        <v>7.1065000850000004</v>
      </c>
    </row>
    <row r="77" spans="1:34" x14ac:dyDescent="0.3">
      <c r="A77" t="s">
        <v>124</v>
      </c>
      <c r="B77">
        <v>4000</v>
      </c>
      <c r="C77">
        <v>37.700000000000003</v>
      </c>
      <c r="D77">
        <v>18</v>
      </c>
      <c r="E77">
        <v>20</v>
      </c>
      <c r="F77">
        <v>12.85</v>
      </c>
      <c r="G77">
        <v>5</v>
      </c>
      <c r="H77">
        <v>0.4</v>
      </c>
      <c r="I77">
        <v>45.6</v>
      </c>
      <c r="J77">
        <v>26.07</v>
      </c>
      <c r="K77">
        <v>14.337</v>
      </c>
      <c r="L77" s="19">
        <f t="shared" si="4"/>
        <v>10.243394807895502</v>
      </c>
      <c r="M77">
        <v>22.954000000000001</v>
      </c>
      <c r="N77" s="19">
        <f t="shared" si="5"/>
        <v>10.087569209386599</v>
      </c>
      <c r="O77">
        <v>-3.15</v>
      </c>
      <c r="P77">
        <v>-0.8</v>
      </c>
      <c r="Q77">
        <v>0.9</v>
      </c>
      <c r="R77">
        <v>0.4</v>
      </c>
      <c r="S77">
        <v>0.05</v>
      </c>
      <c r="T77">
        <v>4.4999999999999998E-2</v>
      </c>
      <c r="U77">
        <v>0.5</v>
      </c>
      <c r="V77">
        <v>0.5</v>
      </c>
      <c r="W77">
        <v>50</v>
      </c>
      <c r="X77">
        <v>20</v>
      </c>
      <c r="Y77" s="10">
        <v>2.374080846</v>
      </c>
      <c r="Z77" s="10">
        <v>0</v>
      </c>
      <c r="AA77" s="10">
        <v>0.77755958400000003</v>
      </c>
      <c r="AB77" s="10">
        <v>2.563651873</v>
      </c>
      <c r="AC77" s="10">
        <v>0.70373493399999998</v>
      </c>
      <c r="AD77" s="10">
        <v>3.1636887219999998</v>
      </c>
      <c r="AE77" s="10">
        <v>0.48806907999999999</v>
      </c>
      <c r="AF77" s="10">
        <v>4.5400502789999999</v>
      </c>
      <c r="AG77" s="10">
        <v>0</v>
      </c>
      <c r="AH77" s="10">
        <v>5.6852000680000003</v>
      </c>
    </row>
    <row r="78" spans="1:34" s="7" customFormat="1" x14ac:dyDescent="0.3">
      <c r="A78" s="7" t="s">
        <v>126</v>
      </c>
      <c r="B78" s="7">
        <v>7100</v>
      </c>
      <c r="C78" s="7">
        <v>37.700000000000003</v>
      </c>
      <c r="D78" s="7">
        <v>18</v>
      </c>
      <c r="E78" s="7">
        <v>20</v>
      </c>
      <c r="F78" s="7">
        <v>12.85</v>
      </c>
      <c r="G78" s="7">
        <v>5</v>
      </c>
      <c r="H78" s="7">
        <v>0.4</v>
      </c>
      <c r="I78" s="7">
        <v>51.3874</v>
      </c>
      <c r="J78" s="7">
        <v>30.8721</v>
      </c>
      <c r="K78" s="7">
        <v>12.29</v>
      </c>
      <c r="L78" s="7">
        <f t="shared" si="4"/>
        <v>9.6032002068172879</v>
      </c>
      <c r="M78" s="7">
        <v>21.442</v>
      </c>
      <c r="N78" s="7">
        <f t="shared" si="5"/>
        <v>11.002391067479685</v>
      </c>
      <c r="O78" s="7">
        <v>-3.15</v>
      </c>
      <c r="P78" s="7">
        <v>0.6</v>
      </c>
      <c r="Q78" s="7">
        <v>1</v>
      </c>
      <c r="R78" s="7">
        <v>0.4</v>
      </c>
      <c r="S78" s="7">
        <v>0.06</v>
      </c>
      <c r="T78" s="7">
        <v>0.06</v>
      </c>
      <c r="U78" s="7">
        <v>0.4</v>
      </c>
      <c r="V78" s="7">
        <v>0.4</v>
      </c>
      <c r="W78" s="7">
        <v>67</v>
      </c>
      <c r="X78" s="7">
        <v>30</v>
      </c>
      <c r="Y78" s="25">
        <v>6.2</v>
      </c>
      <c r="Z78" s="25">
        <v>0</v>
      </c>
      <c r="AA78" s="25">
        <v>2.4369999999999998</v>
      </c>
      <c r="AB78" s="25">
        <v>4.9939999999999998</v>
      </c>
      <c r="AC78" s="25">
        <v>2.3239999999999998</v>
      </c>
      <c r="AD78" s="25">
        <v>5.976</v>
      </c>
      <c r="AE78" s="25">
        <v>2.25</v>
      </c>
      <c r="AF78" s="25">
        <v>7.9859999999999998</v>
      </c>
      <c r="AG78" s="25">
        <v>0</v>
      </c>
      <c r="AH78" s="25">
        <v>11.6</v>
      </c>
    </row>
    <row r="79" spans="1:34" s="7" customFormat="1" x14ac:dyDescent="0.3">
      <c r="A79" s="7" t="s">
        <v>126</v>
      </c>
      <c r="B79" s="7">
        <v>6000</v>
      </c>
      <c r="C79" s="7">
        <v>37.700000000000003</v>
      </c>
      <c r="D79" s="7">
        <v>18</v>
      </c>
      <c r="E79" s="7">
        <v>20</v>
      </c>
      <c r="F79" s="7">
        <v>12.85</v>
      </c>
      <c r="G79" s="7">
        <v>5</v>
      </c>
      <c r="H79" s="7">
        <v>0.4</v>
      </c>
      <c r="I79" s="7">
        <v>51.3874</v>
      </c>
      <c r="J79" s="7">
        <v>30.8721</v>
      </c>
      <c r="K79" s="7">
        <v>12.29</v>
      </c>
      <c r="L79" s="7">
        <f t="shared" si="4"/>
        <v>9.6032002068172879</v>
      </c>
      <c r="M79" s="7">
        <v>21.442</v>
      </c>
      <c r="N79" s="7">
        <f t="shared" si="5"/>
        <v>11.002391067479685</v>
      </c>
      <c r="O79" s="7">
        <v>-3.15</v>
      </c>
      <c r="P79" s="7">
        <v>0.6</v>
      </c>
      <c r="Q79" s="7">
        <v>1</v>
      </c>
      <c r="R79" s="7">
        <v>0.4</v>
      </c>
      <c r="S79" s="7">
        <v>0.06</v>
      </c>
      <c r="T79" s="7">
        <v>0.06</v>
      </c>
      <c r="U79" s="7">
        <v>0.4</v>
      </c>
      <c r="V79" s="7">
        <v>0.4</v>
      </c>
      <c r="W79" s="7">
        <v>67</v>
      </c>
      <c r="X79" s="7">
        <v>30</v>
      </c>
      <c r="Y79" s="25">
        <v>4.427692918</v>
      </c>
      <c r="Z79" s="25">
        <v>0</v>
      </c>
      <c r="AA79" s="25">
        <v>1.7403689739999999</v>
      </c>
      <c r="AB79" s="25">
        <v>4.2202816900000002</v>
      </c>
      <c r="AC79" s="25">
        <v>1.6596706999999999</v>
      </c>
      <c r="AD79" s="25">
        <v>5.0501408449999996</v>
      </c>
      <c r="AE79" s="25">
        <v>1.606824043</v>
      </c>
      <c r="AF79" s="25">
        <v>6.7487323940000001</v>
      </c>
      <c r="AG79" s="25">
        <v>0</v>
      </c>
      <c r="AH79" s="25">
        <v>9.8028169009999999</v>
      </c>
    </row>
    <row r="80" spans="1:34" s="7" customFormat="1" x14ac:dyDescent="0.3">
      <c r="A80" s="7" t="s">
        <v>125</v>
      </c>
      <c r="B80" s="7">
        <v>5000</v>
      </c>
      <c r="C80" s="7">
        <v>37.700000000000003</v>
      </c>
      <c r="D80" s="7">
        <v>18</v>
      </c>
      <c r="E80" s="7">
        <v>20</v>
      </c>
      <c r="F80" s="7">
        <v>12.85</v>
      </c>
      <c r="G80" s="7">
        <v>5</v>
      </c>
      <c r="H80" s="7">
        <v>0.4</v>
      </c>
      <c r="I80" s="7">
        <v>51.3874</v>
      </c>
      <c r="J80" s="7">
        <v>30.8721</v>
      </c>
      <c r="K80" s="7">
        <v>12.29</v>
      </c>
      <c r="L80" s="7">
        <f t="shared" si="4"/>
        <v>9.6032002068172879</v>
      </c>
      <c r="M80" s="7">
        <v>21.442</v>
      </c>
      <c r="N80" s="7">
        <f t="shared" si="5"/>
        <v>11.002391067479685</v>
      </c>
      <c r="O80" s="7">
        <v>-3.15</v>
      </c>
      <c r="P80" s="7">
        <v>0.6</v>
      </c>
      <c r="Q80" s="7">
        <v>1</v>
      </c>
      <c r="R80" s="7">
        <v>0.4</v>
      </c>
      <c r="S80" s="7">
        <v>0.06</v>
      </c>
      <c r="T80" s="7">
        <v>0.06</v>
      </c>
      <c r="U80" s="7">
        <v>0.4</v>
      </c>
      <c r="V80" s="7">
        <v>0.4</v>
      </c>
      <c r="W80" s="7">
        <v>67</v>
      </c>
      <c r="X80" s="7">
        <v>30</v>
      </c>
      <c r="Y80" s="25">
        <v>3.0747867489999998</v>
      </c>
      <c r="Z80" s="25">
        <v>0</v>
      </c>
      <c r="AA80" s="25">
        <v>1.2085895659999999</v>
      </c>
      <c r="AB80" s="25">
        <v>3.5169014079999998</v>
      </c>
      <c r="AC80" s="25">
        <v>1.1525490970000001</v>
      </c>
      <c r="AD80" s="25">
        <v>4.2084507039999997</v>
      </c>
      <c r="AE80" s="25">
        <v>1.11585003</v>
      </c>
      <c r="AF80" s="25">
        <v>5.6239436620000003</v>
      </c>
      <c r="AG80" s="25">
        <v>0</v>
      </c>
      <c r="AH80" s="25">
        <v>8.1690140850000006</v>
      </c>
    </row>
    <row r="81" spans="1:34" s="7" customFormat="1" x14ac:dyDescent="0.3">
      <c r="A81" s="7" t="s">
        <v>125</v>
      </c>
      <c r="B81" s="7">
        <v>4000</v>
      </c>
      <c r="C81" s="7">
        <v>37.700000000000003</v>
      </c>
      <c r="D81" s="7">
        <v>18</v>
      </c>
      <c r="E81" s="7">
        <v>20</v>
      </c>
      <c r="F81" s="7">
        <v>12.85</v>
      </c>
      <c r="G81" s="7">
        <v>5</v>
      </c>
      <c r="H81" s="7">
        <v>0.4</v>
      </c>
      <c r="I81" s="7">
        <v>51.3874</v>
      </c>
      <c r="J81" s="7">
        <v>30.8721</v>
      </c>
      <c r="K81" s="7">
        <v>12.29</v>
      </c>
      <c r="L81" s="7">
        <f t="shared" si="4"/>
        <v>9.6032002068172879</v>
      </c>
      <c r="M81" s="7">
        <v>21.442</v>
      </c>
      <c r="N81" s="7">
        <f t="shared" si="5"/>
        <v>11.002391067479685</v>
      </c>
      <c r="O81" s="7">
        <v>-3.15</v>
      </c>
      <c r="P81" s="7">
        <v>0.6</v>
      </c>
      <c r="Q81" s="7">
        <v>1</v>
      </c>
      <c r="R81" s="7">
        <v>0.4</v>
      </c>
      <c r="S81" s="7">
        <v>0.06</v>
      </c>
      <c r="T81" s="7">
        <v>0.06</v>
      </c>
      <c r="U81" s="7">
        <v>0.4</v>
      </c>
      <c r="V81" s="7">
        <v>0.4</v>
      </c>
      <c r="W81" s="7">
        <v>67</v>
      </c>
      <c r="X81" s="7">
        <v>30</v>
      </c>
      <c r="Y81" s="25">
        <v>1.967863519</v>
      </c>
      <c r="Z81" s="25">
        <v>0</v>
      </c>
      <c r="AA81" s="25">
        <v>0.77349732199999999</v>
      </c>
      <c r="AB81" s="25">
        <v>2.813521127</v>
      </c>
      <c r="AC81" s="25">
        <v>0.73763142199999998</v>
      </c>
      <c r="AD81" s="25">
        <v>3.3667605630000002</v>
      </c>
      <c r="AE81" s="25">
        <v>0.71414401900000002</v>
      </c>
      <c r="AF81" s="25">
        <v>4.4991549300000004</v>
      </c>
      <c r="AG81" s="25">
        <v>0</v>
      </c>
      <c r="AH81" s="25">
        <v>6.5352112680000003</v>
      </c>
    </row>
    <row r="82" spans="1:34" s="7" customFormat="1" x14ac:dyDescent="0.3">
      <c r="A82" s="7" t="s">
        <v>127</v>
      </c>
      <c r="B82" s="7">
        <v>7100</v>
      </c>
      <c r="C82" s="7">
        <v>37.700000000000003</v>
      </c>
      <c r="D82" s="7">
        <v>18</v>
      </c>
      <c r="E82" s="7">
        <v>20</v>
      </c>
      <c r="F82" s="7">
        <v>12.85</v>
      </c>
      <c r="G82" s="7">
        <v>5</v>
      </c>
      <c r="H82" s="7">
        <v>0.4</v>
      </c>
      <c r="I82" s="7">
        <v>45.71</v>
      </c>
      <c r="J82" s="7">
        <v>25.96</v>
      </c>
      <c r="K82" s="7">
        <v>13.638</v>
      </c>
      <c r="L82" s="7">
        <f t="shared" si="4"/>
        <v>9.7622797775396659</v>
      </c>
      <c r="M82" s="7">
        <v>23.16</v>
      </c>
      <c r="N82" s="7">
        <f t="shared" si="5"/>
        <v>10.138140928238684</v>
      </c>
      <c r="O82" s="7">
        <v>-3.15</v>
      </c>
      <c r="P82" s="7">
        <v>0.6</v>
      </c>
      <c r="Q82" s="7">
        <v>1</v>
      </c>
      <c r="R82" s="7">
        <v>0.4</v>
      </c>
      <c r="S82" s="7">
        <v>0.06</v>
      </c>
      <c r="T82" s="7">
        <v>0.06</v>
      </c>
      <c r="U82" s="7">
        <v>0.4</v>
      </c>
      <c r="V82" s="7">
        <v>0.4</v>
      </c>
      <c r="W82" s="7">
        <v>67</v>
      </c>
      <c r="X82" s="7">
        <v>30</v>
      </c>
      <c r="Y82" s="25">
        <v>6.72</v>
      </c>
      <c r="Z82" s="25">
        <v>0</v>
      </c>
      <c r="AA82" s="25">
        <v>2.4990000000000001</v>
      </c>
      <c r="AB82" s="25">
        <v>4.9820000000000002</v>
      </c>
      <c r="AC82" s="25">
        <v>2.2200000000000002</v>
      </c>
      <c r="AD82" s="25">
        <v>6.9139999999999997</v>
      </c>
      <c r="AE82" s="25">
        <v>1.8160000000000001</v>
      </c>
      <c r="AF82" s="25">
        <v>7.9660000000000002</v>
      </c>
      <c r="AG82" s="25">
        <v>0</v>
      </c>
      <c r="AH82" s="25">
        <v>10</v>
      </c>
    </row>
    <row r="83" spans="1:34" s="7" customFormat="1" x14ac:dyDescent="0.3">
      <c r="A83" s="7" t="s">
        <v>127</v>
      </c>
      <c r="B83" s="7">
        <v>6000</v>
      </c>
      <c r="C83" s="7">
        <v>37.700000000000003</v>
      </c>
      <c r="D83" s="7">
        <v>18</v>
      </c>
      <c r="E83" s="7">
        <v>20</v>
      </c>
      <c r="F83" s="7">
        <v>12.85</v>
      </c>
      <c r="G83" s="7">
        <v>5</v>
      </c>
      <c r="H83" s="7">
        <v>0.4</v>
      </c>
      <c r="I83" s="7">
        <v>45.71</v>
      </c>
      <c r="J83" s="7">
        <v>25.96</v>
      </c>
      <c r="K83" s="7">
        <v>13.638</v>
      </c>
      <c r="L83" s="7">
        <f t="shared" si="4"/>
        <v>9.7622797775396659</v>
      </c>
      <c r="M83" s="7">
        <v>23.16</v>
      </c>
      <c r="N83" s="7">
        <f t="shared" si="5"/>
        <v>10.138140928238684</v>
      </c>
      <c r="O83" s="7">
        <v>-3.15</v>
      </c>
      <c r="P83" s="7">
        <v>0.6</v>
      </c>
      <c r="Q83" s="7">
        <v>1</v>
      </c>
      <c r="R83" s="7">
        <v>0.4</v>
      </c>
      <c r="S83" s="7">
        <v>0.06</v>
      </c>
      <c r="T83" s="7">
        <v>0.06</v>
      </c>
      <c r="U83" s="7">
        <v>0.4</v>
      </c>
      <c r="V83" s="7">
        <v>0.4</v>
      </c>
      <c r="W83" s="7">
        <v>67</v>
      </c>
      <c r="X83" s="7">
        <v>30</v>
      </c>
      <c r="Y83" s="25">
        <v>4.7990478080000001</v>
      </c>
      <c r="Z83" s="25">
        <v>0</v>
      </c>
      <c r="AA83" s="25">
        <v>1.784645904</v>
      </c>
      <c r="AB83" s="25">
        <v>4.2101408449999997</v>
      </c>
      <c r="AC83" s="25">
        <v>1.585399722</v>
      </c>
      <c r="AD83" s="25">
        <v>5.842816901</v>
      </c>
      <c r="AE83" s="25">
        <v>1.296885539</v>
      </c>
      <c r="AF83" s="25">
        <v>6.7318309860000003</v>
      </c>
      <c r="AG83" s="25">
        <v>0</v>
      </c>
      <c r="AH83" s="25">
        <v>8.4507042250000008</v>
      </c>
    </row>
    <row r="84" spans="1:34" s="7" customFormat="1" x14ac:dyDescent="0.3">
      <c r="A84" s="7" t="s">
        <v>128</v>
      </c>
      <c r="B84" s="7">
        <v>5000</v>
      </c>
      <c r="C84" s="7">
        <v>37.700000000000003</v>
      </c>
      <c r="D84" s="7">
        <v>18</v>
      </c>
      <c r="E84" s="7">
        <v>20</v>
      </c>
      <c r="F84" s="7">
        <v>12.85</v>
      </c>
      <c r="G84" s="7">
        <v>5</v>
      </c>
      <c r="H84" s="7">
        <v>0.4</v>
      </c>
      <c r="I84" s="7">
        <v>45.71</v>
      </c>
      <c r="J84" s="7">
        <v>25.96</v>
      </c>
      <c r="K84" s="7">
        <v>13.638</v>
      </c>
      <c r="L84" s="7">
        <f t="shared" si="4"/>
        <v>9.7622797775396659</v>
      </c>
      <c r="M84" s="7">
        <v>23.16</v>
      </c>
      <c r="N84" s="7">
        <f t="shared" si="5"/>
        <v>10.138140928238684</v>
      </c>
      <c r="O84" s="7">
        <v>-3.15</v>
      </c>
      <c r="P84" s="7">
        <v>0.6</v>
      </c>
      <c r="Q84" s="7">
        <v>1</v>
      </c>
      <c r="R84" s="7">
        <v>0.4</v>
      </c>
      <c r="S84" s="7">
        <v>0.06</v>
      </c>
      <c r="T84" s="7">
        <v>0.06</v>
      </c>
      <c r="U84" s="7">
        <v>0.4</v>
      </c>
      <c r="V84" s="7">
        <v>0.4</v>
      </c>
      <c r="W84" s="7">
        <v>67</v>
      </c>
      <c r="X84" s="7">
        <v>30</v>
      </c>
      <c r="Y84" s="25">
        <v>3.3326720889999999</v>
      </c>
      <c r="Z84" s="25">
        <v>0</v>
      </c>
      <c r="AA84" s="25">
        <v>1.239337433</v>
      </c>
      <c r="AB84" s="25">
        <v>3.5084507039999999</v>
      </c>
      <c r="AC84" s="25">
        <v>1.100972029</v>
      </c>
      <c r="AD84" s="25">
        <v>4.8690140849999999</v>
      </c>
      <c r="AE84" s="25">
        <v>0.90061495700000005</v>
      </c>
      <c r="AF84" s="25">
        <v>5.6098591549999997</v>
      </c>
      <c r="AG84" s="25">
        <v>0</v>
      </c>
      <c r="AH84" s="25">
        <v>7.0422535210000001</v>
      </c>
    </row>
    <row r="85" spans="1:34" s="7" customFormat="1" x14ac:dyDescent="0.3">
      <c r="A85" s="7" t="s">
        <v>128</v>
      </c>
      <c r="B85" s="7">
        <v>4000</v>
      </c>
      <c r="C85" s="7">
        <v>37.700000000000003</v>
      </c>
      <c r="D85" s="7">
        <v>18</v>
      </c>
      <c r="E85" s="7">
        <v>20</v>
      </c>
      <c r="F85" s="7">
        <v>12.85</v>
      </c>
      <c r="G85" s="7">
        <v>5</v>
      </c>
      <c r="H85" s="7">
        <v>0.4</v>
      </c>
      <c r="I85" s="7">
        <v>45.71</v>
      </c>
      <c r="J85" s="7">
        <v>25.96</v>
      </c>
      <c r="K85" s="7">
        <v>13.638</v>
      </c>
      <c r="L85" s="7">
        <f t="shared" si="4"/>
        <v>9.7622797775396659</v>
      </c>
      <c r="M85" s="7">
        <v>23.16</v>
      </c>
      <c r="N85" s="7">
        <f t="shared" si="5"/>
        <v>10.138140928238684</v>
      </c>
      <c r="O85" s="7">
        <v>-3.15</v>
      </c>
      <c r="P85" s="7">
        <v>0.6</v>
      </c>
      <c r="Q85" s="7">
        <v>1</v>
      </c>
      <c r="R85" s="7">
        <v>0.4</v>
      </c>
      <c r="S85" s="7">
        <v>0.06</v>
      </c>
      <c r="T85" s="7">
        <v>0.06</v>
      </c>
      <c r="U85" s="7">
        <v>0.4</v>
      </c>
      <c r="V85" s="7">
        <v>0.4</v>
      </c>
      <c r="W85" s="7">
        <v>67</v>
      </c>
      <c r="X85" s="7">
        <v>30</v>
      </c>
      <c r="Y85" s="25">
        <v>2.1329101370000001</v>
      </c>
      <c r="Z85" s="25">
        <v>0</v>
      </c>
      <c r="AA85" s="25">
        <v>0.79317595699999999</v>
      </c>
      <c r="AB85" s="25">
        <v>2.8067605630000001</v>
      </c>
      <c r="AC85" s="25">
        <v>0.70462209899999995</v>
      </c>
      <c r="AD85" s="25">
        <v>3.8952112680000002</v>
      </c>
      <c r="AE85" s="25">
        <v>0.57639357300000005</v>
      </c>
      <c r="AF85" s="25">
        <v>4.4878873239999999</v>
      </c>
      <c r="AG85" s="25">
        <v>0</v>
      </c>
      <c r="AH85" s="25">
        <v>5.6338028170000003</v>
      </c>
    </row>
    <row r="86" spans="1:34" x14ac:dyDescent="0.3">
      <c r="A86" t="s">
        <v>130</v>
      </c>
      <c r="B86">
        <v>7100</v>
      </c>
      <c r="C86">
        <v>37.700000000000003</v>
      </c>
      <c r="D86">
        <v>18</v>
      </c>
      <c r="E86">
        <v>20</v>
      </c>
      <c r="F86">
        <v>16.3</v>
      </c>
      <c r="G86">
        <v>5</v>
      </c>
      <c r="H86">
        <v>0.4</v>
      </c>
      <c r="I86">
        <v>51.95</v>
      </c>
      <c r="J86">
        <v>30.96</v>
      </c>
      <c r="K86">
        <v>14.99</v>
      </c>
      <c r="L86" s="19">
        <f t="shared" si="4"/>
        <v>11.804223082597291</v>
      </c>
      <c r="M86">
        <v>24.79</v>
      </c>
      <c r="N86" s="19">
        <f t="shared" si="5"/>
        <v>12.752956042443543</v>
      </c>
      <c r="O86">
        <v>-3.15</v>
      </c>
      <c r="P86">
        <v>0.6</v>
      </c>
      <c r="Q86">
        <v>1</v>
      </c>
      <c r="R86">
        <v>0.4</v>
      </c>
      <c r="S86">
        <v>0.06</v>
      </c>
      <c r="T86">
        <v>0.06</v>
      </c>
      <c r="U86">
        <v>0.4</v>
      </c>
      <c r="V86">
        <v>0.4</v>
      </c>
      <c r="W86">
        <v>67</v>
      </c>
      <c r="X86">
        <v>30</v>
      </c>
      <c r="Y86" s="10">
        <v>6.57</v>
      </c>
      <c r="Z86" s="10">
        <v>0</v>
      </c>
      <c r="AA86" s="10">
        <v>2.7029999999999998</v>
      </c>
      <c r="AB86" s="10">
        <v>4.9850000000000003</v>
      </c>
      <c r="AC86" s="10">
        <v>2.87</v>
      </c>
      <c r="AD86" s="10">
        <v>6.91</v>
      </c>
      <c r="AE86" s="10">
        <v>2.6480000000000001</v>
      </c>
      <c r="AF86" s="10">
        <v>7.96</v>
      </c>
      <c r="AG86" s="10">
        <v>0</v>
      </c>
      <c r="AH86" s="10">
        <v>11.25</v>
      </c>
    </row>
    <row r="87" spans="1:34" x14ac:dyDescent="0.3">
      <c r="A87" t="s">
        <v>131</v>
      </c>
      <c r="B87">
        <v>6000</v>
      </c>
      <c r="C87">
        <v>37.700000000000003</v>
      </c>
      <c r="D87">
        <v>18</v>
      </c>
      <c r="E87">
        <v>20</v>
      </c>
      <c r="F87">
        <v>16.3</v>
      </c>
      <c r="G87">
        <v>5</v>
      </c>
      <c r="H87">
        <v>0.4</v>
      </c>
      <c r="I87">
        <v>51.95</v>
      </c>
      <c r="J87">
        <v>30.96</v>
      </c>
      <c r="K87">
        <v>14.99</v>
      </c>
      <c r="L87" s="19">
        <f t="shared" si="4"/>
        <v>11.804223082597291</v>
      </c>
      <c r="M87">
        <v>24.79</v>
      </c>
      <c r="N87" s="19">
        <f t="shared" si="5"/>
        <v>12.752956042443543</v>
      </c>
      <c r="O87">
        <v>-3.15</v>
      </c>
      <c r="P87">
        <v>0.6</v>
      </c>
      <c r="Q87">
        <v>1</v>
      </c>
      <c r="R87">
        <v>0.4</v>
      </c>
      <c r="S87">
        <v>0.06</v>
      </c>
      <c r="T87">
        <v>0.06</v>
      </c>
      <c r="U87">
        <v>0.4</v>
      </c>
      <c r="V87">
        <v>0.4</v>
      </c>
      <c r="W87">
        <v>67</v>
      </c>
      <c r="X87">
        <v>30</v>
      </c>
      <c r="Y87" s="10">
        <v>4.6919262049999997</v>
      </c>
      <c r="Z87" s="10">
        <v>0</v>
      </c>
      <c r="AA87" s="10">
        <v>1.9303312829999999</v>
      </c>
      <c r="AB87" s="10">
        <v>4.2126760560000003</v>
      </c>
      <c r="AC87" s="10">
        <v>2.049593335</v>
      </c>
      <c r="AD87" s="10">
        <v>5.8394366199999999</v>
      </c>
      <c r="AE87" s="10">
        <v>1.8910533620000001</v>
      </c>
      <c r="AF87" s="10">
        <v>6.726760563</v>
      </c>
      <c r="AG87" s="10">
        <v>0</v>
      </c>
      <c r="AH87" s="10">
        <v>9.5070422539999999</v>
      </c>
    </row>
    <row r="88" spans="1:34" x14ac:dyDescent="0.3">
      <c r="A88" t="s">
        <v>130</v>
      </c>
      <c r="B88">
        <v>5000</v>
      </c>
      <c r="C88">
        <v>37.700000000000003</v>
      </c>
      <c r="D88">
        <v>18</v>
      </c>
      <c r="E88">
        <v>20</v>
      </c>
      <c r="F88">
        <v>16.3</v>
      </c>
      <c r="G88">
        <v>5</v>
      </c>
      <c r="H88">
        <v>0.4</v>
      </c>
      <c r="I88">
        <v>51.95</v>
      </c>
      <c r="J88">
        <v>30.96</v>
      </c>
      <c r="K88">
        <v>14.99</v>
      </c>
      <c r="L88" s="19">
        <f t="shared" si="4"/>
        <v>11.804223082597291</v>
      </c>
      <c r="M88">
        <v>24.79</v>
      </c>
      <c r="N88" s="19">
        <f t="shared" si="5"/>
        <v>12.752956042443543</v>
      </c>
      <c r="O88">
        <v>-3.15</v>
      </c>
      <c r="P88">
        <v>0.6</v>
      </c>
      <c r="Q88">
        <v>1</v>
      </c>
      <c r="R88">
        <v>0.4</v>
      </c>
      <c r="S88">
        <v>0.06</v>
      </c>
      <c r="T88">
        <v>0.06</v>
      </c>
      <c r="U88">
        <v>0.4</v>
      </c>
      <c r="V88">
        <v>0.4</v>
      </c>
      <c r="W88">
        <v>67</v>
      </c>
      <c r="X88">
        <v>30</v>
      </c>
      <c r="Y88" s="10">
        <v>3.258282087</v>
      </c>
      <c r="Z88" s="10">
        <v>0</v>
      </c>
      <c r="AA88" s="10">
        <v>1.340507836</v>
      </c>
      <c r="AB88" s="10">
        <v>3.5105633799999998</v>
      </c>
      <c r="AC88" s="10">
        <v>1.4233287050000001</v>
      </c>
      <c r="AD88" s="10">
        <v>4.8661971829999997</v>
      </c>
      <c r="AE88" s="10">
        <v>1.3132315020000001</v>
      </c>
      <c r="AF88" s="10">
        <v>5.6056338029999999</v>
      </c>
      <c r="AG88" s="10">
        <v>0</v>
      </c>
      <c r="AH88" s="10">
        <v>7.9225352109999996</v>
      </c>
    </row>
    <row r="89" spans="1:34" x14ac:dyDescent="0.3">
      <c r="A89" t="s">
        <v>129</v>
      </c>
      <c r="B89">
        <v>4000</v>
      </c>
      <c r="C89">
        <v>37.700000000000003</v>
      </c>
      <c r="D89">
        <v>18</v>
      </c>
      <c r="E89">
        <v>20</v>
      </c>
      <c r="F89">
        <v>16.3</v>
      </c>
      <c r="G89">
        <v>5</v>
      </c>
      <c r="H89">
        <v>0.4</v>
      </c>
      <c r="I89">
        <v>51.95</v>
      </c>
      <c r="J89">
        <v>30.96</v>
      </c>
      <c r="K89">
        <v>14.99</v>
      </c>
      <c r="L89" s="19">
        <f t="shared" si="4"/>
        <v>11.804223082597291</v>
      </c>
      <c r="M89">
        <v>24.79</v>
      </c>
      <c r="N89" s="19">
        <f t="shared" si="5"/>
        <v>12.752956042443543</v>
      </c>
      <c r="O89">
        <v>-3.15</v>
      </c>
      <c r="P89">
        <v>0.6</v>
      </c>
      <c r="Q89">
        <v>1</v>
      </c>
      <c r="R89">
        <v>0.4</v>
      </c>
      <c r="S89">
        <v>0.06</v>
      </c>
      <c r="T89">
        <v>0.06</v>
      </c>
      <c r="U89">
        <v>0.4</v>
      </c>
      <c r="V89">
        <v>0.4</v>
      </c>
      <c r="W89">
        <v>67</v>
      </c>
      <c r="X89">
        <v>30</v>
      </c>
      <c r="Y89" s="10">
        <v>2.0853005360000001</v>
      </c>
      <c r="Z89" s="10">
        <v>0</v>
      </c>
      <c r="AA89" s="10">
        <v>0.85792501499999996</v>
      </c>
      <c r="AB89" s="10">
        <v>2.8084507040000002</v>
      </c>
      <c r="AC89" s="10">
        <v>0.91093037099999996</v>
      </c>
      <c r="AD89" s="10">
        <v>3.892957746</v>
      </c>
      <c r="AE89" s="10">
        <v>0.84046816099999999</v>
      </c>
      <c r="AF89" s="10">
        <v>4.4845070419999997</v>
      </c>
      <c r="AG89" s="10">
        <v>0</v>
      </c>
      <c r="AH89" s="10">
        <v>6.3380281690000002</v>
      </c>
    </row>
    <row r="90" spans="1:34" x14ac:dyDescent="0.3">
      <c r="A90" t="s">
        <v>132</v>
      </c>
      <c r="B90">
        <v>7100</v>
      </c>
      <c r="C90">
        <v>37.700000000000003</v>
      </c>
      <c r="D90">
        <v>18</v>
      </c>
      <c r="E90">
        <v>20</v>
      </c>
      <c r="F90">
        <v>15.3</v>
      </c>
      <c r="G90">
        <v>5</v>
      </c>
      <c r="H90">
        <v>0.4</v>
      </c>
      <c r="I90">
        <v>51.95</v>
      </c>
      <c r="J90">
        <v>30.96</v>
      </c>
      <c r="K90">
        <v>13.89</v>
      </c>
      <c r="L90" s="19">
        <f t="shared" si="4"/>
        <v>10.93800257620256</v>
      </c>
      <c r="M90">
        <v>23.31</v>
      </c>
      <c r="N90" s="19">
        <f t="shared" si="5"/>
        <v>11.991585532446914</v>
      </c>
      <c r="O90">
        <v>-3.15</v>
      </c>
      <c r="P90">
        <v>0.6</v>
      </c>
      <c r="Q90">
        <v>1</v>
      </c>
      <c r="R90">
        <v>0.4</v>
      </c>
      <c r="S90">
        <v>0.06</v>
      </c>
      <c r="T90">
        <v>0.06</v>
      </c>
      <c r="U90">
        <v>0.4</v>
      </c>
      <c r="V90">
        <v>0.4</v>
      </c>
      <c r="W90">
        <v>67</v>
      </c>
      <c r="X90">
        <v>30</v>
      </c>
      <c r="Y90" s="10">
        <v>6.3253390310000004</v>
      </c>
      <c r="Z90" s="10">
        <v>0</v>
      </c>
      <c r="AA90" s="10">
        <v>2.2323773359999999</v>
      </c>
      <c r="AB90" s="10">
        <v>5.2743172920000001</v>
      </c>
      <c r="AC90" s="10">
        <v>2.6275524130000001</v>
      </c>
      <c r="AD90" s="10">
        <v>6.8795613900000001</v>
      </c>
      <c r="AE90" s="10">
        <v>2.3095059409999998</v>
      </c>
      <c r="AF90" s="10">
        <v>8.1315984879999998</v>
      </c>
      <c r="AG90" s="10">
        <v>0</v>
      </c>
      <c r="AH90" s="10">
        <v>11.30407823</v>
      </c>
    </row>
    <row r="91" spans="1:34" x14ac:dyDescent="0.3">
      <c r="A91" t="s">
        <v>132</v>
      </c>
      <c r="B91">
        <v>6000</v>
      </c>
      <c r="C91">
        <v>37.700000000000003</v>
      </c>
      <c r="D91">
        <v>18</v>
      </c>
      <c r="E91">
        <v>20</v>
      </c>
      <c r="F91">
        <v>15.3</v>
      </c>
      <c r="G91">
        <v>5</v>
      </c>
      <c r="H91">
        <v>0.4</v>
      </c>
      <c r="I91">
        <v>51.95</v>
      </c>
      <c r="J91">
        <v>30.96</v>
      </c>
      <c r="K91">
        <v>13.89</v>
      </c>
      <c r="L91" s="19">
        <f t="shared" si="4"/>
        <v>10.93800257620256</v>
      </c>
      <c r="M91">
        <v>23.31</v>
      </c>
      <c r="N91" s="19">
        <f t="shared" si="5"/>
        <v>11.991585532446914</v>
      </c>
      <c r="O91">
        <v>-3.15</v>
      </c>
      <c r="P91">
        <v>0.6</v>
      </c>
      <c r="Q91">
        <v>1</v>
      </c>
      <c r="R91">
        <v>0.4</v>
      </c>
      <c r="S91">
        <v>0.06</v>
      </c>
      <c r="T91">
        <v>0.06</v>
      </c>
      <c r="U91">
        <v>0.4</v>
      </c>
      <c r="V91">
        <v>0.4</v>
      </c>
      <c r="W91">
        <v>67</v>
      </c>
      <c r="X91">
        <v>30</v>
      </c>
      <c r="Y91" s="10">
        <v>4.5172030369999998</v>
      </c>
      <c r="Z91" s="10">
        <v>0</v>
      </c>
      <c r="AA91" s="10">
        <v>1.594238923</v>
      </c>
      <c r="AB91" s="10">
        <v>4.457169543</v>
      </c>
      <c r="AC91" s="10">
        <v>1.87645084</v>
      </c>
      <c r="AD91" s="10">
        <v>5.8137138510000002</v>
      </c>
      <c r="AE91" s="10">
        <v>1.6493198549999999</v>
      </c>
      <c r="AF91" s="10">
        <v>6.8717733699999997</v>
      </c>
      <c r="AG91" s="10">
        <v>0</v>
      </c>
      <c r="AH91" s="10">
        <v>9.5527421639999996</v>
      </c>
    </row>
    <row r="92" spans="1:34" x14ac:dyDescent="0.3">
      <c r="A92" t="s">
        <v>133</v>
      </c>
      <c r="B92">
        <v>5000</v>
      </c>
      <c r="C92">
        <v>37.700000000000003</v>
      </c>
      <c r="D92">
        <v>18</v>
      </c>
      <c r="E92">
        <v>20</v>
      </c>
      <c r="F92">
        <v>15.3</v>
      </c>
      <c r="G92">
        <v>5</v>
      </c>
      <c r="H92">
        <v>0.4</v>
      </c>
      <c r="I92">
        <v>51.95</v>
      </c>
      <c r="J92">
        <v>30.96</v>
      </c>
      <c r="K92">
        <v>13.89</v>
      </c>
      <c r="L92" s="19">
        <f t="shared" si="4"/>
        <v>10.93800257620256</v>
      </c>
      <c r="M92">
        <v>23.31</v>
      </c>
      <c r="N92" s="19">
        <f t="shared" si="5"/>
        <v>11.991585532446914</v>
      </c>
      <c r="O92">
        <v>-3.15</v>
      </c>
      <c r="P92">
        <v>0.6</v>
      </c>
      <c r="Q92">
        <v>1</v>
      </c>
      <c r="R92">
        <v>0.4</v>
      </c>
      <c r="S92">
        <v>0.06</v>
      </c>
      <c r="T92">
        <v>0.06</v>
      </c>
      <c r="U92">
        <v>0.4</v>
      </c>
      <c r="V92">
        <v>0.4</v>
      </c>
      <c r="W92">
        <v>67</v>
      </c>
      <c r="X92">
        <v>30</v>
      </c>
      <c r="Y92" s="10">
        <v>3.1369465540000001</v>
      </c>
      <c r="Z92" s="10">
        <v>0</v>
      </c>
      <c r="AA92" s="10">
        <v>1.1071103630000001</v>
      </c>
      <c r="AB92" s="10">
        <v>3.714307952</v>
      </c>
      <c r="AC92" s="10">
        <v>1.303090861</v>
      </c>
      <c r="AD92" s="10">
        <v>4.8447615419999996</v>
      </c>
      <c r="AE92" s="10">
        <v>1.14536101</v>
      </c>
      <c r="AF92" s="10">
        <v>5.7264778080000003</v>
      </c>
      <c r="AG92" s="10">
        <v>0</v>
      </c>
      <c r="AH92" s="10">
        <v>7.96061847</v>
      </c>
    </row>
    <row r="93" spans="1:34" x14ac:dyDescent="0.3">
      <c r="A93" t="s">
        <v>133</v>
      </c>
      <c r="B93">
        <v>4000</v>
      </c>
      <c r="C93">
        <v>37.700000000000003</v>
      </c>
      <c r="D93">
        <v>18</v>
      </c>
      <c r="E93">
        <v>20</v>
      </c>
      <c r="F93">
        <v>15.3</v>
      </c>
      <c r="G93">
        <v>5</v>
      </c>
      <c r="H93">
        <v>0.4</v>
      </c>
      <c r="I93">
        <v>51.95</v>
      </c>
      <c r="J93">
        <v>30.96</v>
      </c>
      <c r="K93">
        <v>13.89</v>
      </c>
      <c r="L93" s="19">
        <f t="shared" si="4"/>
        <v>10.93800257620256</v>
      </c>
      <c r="M93">
        <v>23.31</v>
      </c>
      <c r="N93" s="19">
        <f t="shared" si="5"/>
        <v>11.991585532446914</v>
      </c>
      <c r="O93">
        <v>-3.15</v>
      </c>
      <c r="P93">
        <v>0.6</v>
      </c>
      <c r="Q93">
        <v>1</v>
      </c>
      <c r="R93">
        <v>0.4</v>
      </c>
      <c r="S93">
        <v>0.06</v>
      </c>
      <c r="T93">
        <v>0.06</v>
      </c>
      <c r="U93">
        <v>0.4</v>
      </c>
      <c r="V93">
        <v>0.4</v>
      </c>
      <c r="W93">
        <v>67</v>
      </c>
      <c r="X93">
        <v>30</v>
      </c>
      <c r="Y93" s="10">
        <v>2.0076457940000001</v>
      </c>
      <c r="Z93" s="10">
        <v>0</v>
      </c>
      <c r="AA93" s="10">
        <v>0.70855063200000001</v>
      </c>
      <c r="AB93" s="10">
        <v>2.971446362</v>
      </c>
      <c r="AC93" s="10">
        <v>0.83397815099999995</v>
      </c>
      <c r="AD93" s="10">
        <v>3.8758092340000001</v>
      </c>
      <c r="AE93" s="10">
        <v>0.73303104699999999</v>
      </c>
      <c r="AF93" s="10">
        <v>4.581182246</v>
      </c>
      <c r="AG93" s="10">
        <v>0</v>
      </c>
      <c r="AH93" s="10">
        <v>6.3684947760000004</v>
      </c>
    </row>
    <row r="94" spans="1:34" x14ac:dyDescent="0.3">
      <c r="A94" t="s">
        <v>134</v>
      </c>
      <c r="B94">
        <v>7100</v>
      </c>
      <c r="C94">
        <v>37.700000000000003</v>
      </c>
      <c r="D94">
        <v>18</v>
      </c>
      <c r="E94">
        <v>20</v>
      </c>
      <c r="F94">
        <v>13.5</v>
      </c>
      <c r="G94">
        <v>5</v>
      </c>
      <c r="H94">
        <v>0.4</v>
      </c>
      <c r="I94">
        <v>39.659999999999997</v>
      </c>
      <c r="J94">
        <v>27.934999999999999</v>
      </c>
      <c r="K94">
        <v>16.172000000000001</v>
      </c>
      <c r="L94" s="19">
        <f t="shared" si="4"/>
        <v>10.321463964191141</v>
      </c>
      <c r="M94">
        <v>30</v>
      </c>
      <c r="N94" s="19">
        <f t="shared" si="5"/>
        <v>14.054087658709431</v>
      </c>
      <c r="O94">
        <v>-3.15</v>
      </c>
      <c r="P94">
        <v>0.6</v>
      </c>
      <c r="Q94">
        <v>1.1000000000000001</v>
      </c>
      <c r="R94">
        <v>0.6</v>
      </c>
      <c r="S94">
        <v>0.02</v>
      </c>
      <c r="T94">
        <v>0.02</v>
      </c>
      <c r="U94">
        <v>0.5</v>
      </c>
      <c r="V94">
        <v>0.5</v>
      </c>
      <c r="W94">
        <v>60</v>
      </c>
      <c r="X94">
        <v>30</v>
      </c>
      <c r="Y94" s="10">
        <v>8.19</v>
      </c>
      <c r="Z94" s="10">
        <v>0</v>
      </c>
      <c r="AA94" s="10">
        <v>2.9049999999999998</v>
      </c>
      <c r="AB94" s="10">
        <v>4.9850000000000003</v>
      </c>
      <c r="AC94" s="10">
        <v>2.7469999999999999</v>
      </c>
      <c r="AD94" s="10">
        <v>5.96</v>
      </c>
      <c r="AE94" s="10">
        <v>2.5049999999999999</v>
      </c>
      <c r="AF94" s="10">
        <v>6.9130000000000003</v>
      </c>
      <c r="AG94" s="10">
        <v>0</v>
      </c>
      <c r="AH94" s="10">
        <v>9.1</v>
      </c>
    </row>
    <row r="95" spans="1:34" x14ac:dyDescent="0.3">
      <c r="A95" t="s">
        <v>134</v>
      </c>
      <c r="B95">
        <v>6000</v>
      </c>
      <c r="C95">
        <v>37.700000000000003</v>
      </c>
      <c r="D95">
        <v>18</v>
      </c>
      <c r="E95">
        <v>20</v>
      </c>
      <c r="F95">
        <v>13.5</v>
      </c>
      <c r="G95">
        <v>5</v>
      </c>
      <c r="H95">
        <v>0.4</v>
      </c>
      <c r="I95">
        <v>39.659999999999997</v>
      </c>
      <c r="J95">
        <v>27.934999999999999</v>
      </c>
      <c r="K95">
        <v>16.172000000000001</v>
      </c>
      <c r="L95" s="19">
        <f t="shared" si="4"/>
        <v>10.321463964191141</v>
      </c>
      <c r="M95">
        <v>30</v>
      </c>
      <c r="N95" s="19">
        <f t="shared" si="5"/>
        <v>14.054087658709431</v>
      </c>
      <c r="O95">
        <v>-3.15</v>
      </c>
      <c r="P95">
        <v>0.6</v>
      </c>
      <c r="Q95">
        <v>1.1000000000000001</v>
      </c>
      <c r="R95">
        <v>0.6</v>
      </c>
      <c r="S95">
        <v>0.02</v>
      </c>
      <c r="T95">
        <v>0.02</v>
      </c>
      <c r="U95">
        <v>0.5</v>
      </c>
      <c r="V95">
        <v>0.5</v>
      </c>
      <c r="W95">
        <v>60</v>
      </c>
      <c r="X95">
        <v>30</v>
      </c>
      <c r="Y95" s="10">
        <v>5.848839516</v>
      </c>
      <c r="Z95" s="10">
        <v>0</v>
      </c>
      <c r="AA95" s="10">
        <v>2.0745883749999998</v>
      </c>
      <c r="AB95" s="10">
        <v>4.2126760560000003</v>
      </c>
      <c r="AC95" s="10">
        <v>1.9617536200000001</v>
      </c>
      <c r="AD95" s="10">
        <v>5.0366197179999999</v>
      </c>
      <c r="AE95" s="10">
        <v>1.7889307679999999</v>
      </c>
      <c r="AF95" s="10">
        <v>5.8419718310000004</v>
      </c>
      <c r="AG95" s="10">
        <v>0</v>
      </c>
      <c r="AH95" s="10">
        <v>7.6901408450000002</v>
      </c>
    </row>
    <row r="96" spans="1:34" x14ac:dyDescent="0.3">
      <c r="A96" t="s">
        <v>135</v>
      </c>
      <c r="B96">
        <v>5000</v>
      </c>
      <c r="C96">
        <v>37.700000000000003</v>
      </c>
      <c r="D96">
        <v>18</v>
      </c>
      <c r="E96">
        <v>20</v>
      </c>
      <c r="F96">
        <v>13.5</v>
      </c>
      <c r="G96">
        <v>5</v>
      </c>
      <c r="H96">
        <v>0.4</v>
      </c>
      <c r="I96">
        <v>39.659999999999997</v>
      </c>
      <c r="J96">
        <v>27.934999999999999</v>
      </c>
      <c r="K96">
        <v>16.172000000000001</v>
      </c>
      <c r="L96" s="19">
        <f t="shared" si="4"/>
        <v>10.321463964191141</v>
      </c>
      <c r="M96">
        <v>30</v>
      </c>
      <c r="N96" s="19">
        <f t="shared" si="5"/>
        <v>14.054087658709431</v>
      </c>
      <c r="O96">
        <v>-3.15</v>
      </c>
      <c r="P96">
        <v>0.6</v>
      </c>
      <c r="Q96">
        <v>1.1000000000000001</v>
      </c>
      <c r="R96">
        <v>0.6</v>
      </c>
      <c r="S96">
        <v>0.02</v>
      </c>
      <c r="T96">
        <v>0.02</v>
      </c>
      <c r="U96">
        <v>0.5</v>
      </c>
      <c r="V96">
        <v>0.5</v>
      </c>
      <c r="W96">
        <v>60</v>
      </c>
      <c r="X96">
        <v>30</v>
      </c>
      <c r="Y96" s="10">
        <v>4.0616941080000002</v>
      </c>
      <c r="Z96" s="10">
        <v>0</v>
      </c>
      <c r="AA96" s="10">
        <v>1.440686372</v>
      </c>
      <c r="AB96" s="10">
        <v>3.5105633799999998</v>
      </c>
      <c r="AC96" s="10">
        <v>1.3623289030000001</v>
      </c>
      <c r="AD96" s="10">
        <v>4.1971830990000001</v>
      </c>
      <c r="AE96" s="10">
        <v>1.2423130330000001</v>
      </c>
      <c r="AF96" s="10">
        <v>4.868309859</v>
      </c>
      <c r="AG96" s="10">
        <v>0</v>
      </c>
      <c r="AH96" s="10">
        <v>6.4084507039999998</v>
      </c>
    </row>
    <row r="97" spans="1:34" x14ac:dyDescent="0.3">
      <c r="A97" t="s">
        <v>135</v>
      </c>
      <c r="B97">
        <v>4000</v>
      </c>
      <c r="C97">
        <v>37.700000000000003</v>
      </c>
      <c r="D97">
        <v>18</v>
      </c>
      <c r="E97">
        <v>20</v>
      </c>
      <c r="F97">
        <v>13.5</v>
      </c>
      <c r="G97">
        <v>5</v>
      </c>
      <c r="H97">
        <v>0.4</v>
      </c>
      <c r="I97">
        <v>39.659999999999997</v>
      </c>
      <c r="J97">
        <v>27.934999999999999</v>
      </c>
      <c r="K97">
        <v>16.172000000000001</v>
      </c>
      <c r="L97" s="19">
        <f t="shared" si="4"/>
        <v>10.321463964191141</v>
      </c>
      <c r="M97">
        <v>30</v>
      </c>
      <c r="N97" s="19">
        <f t="shared" si="5"/>
        <v>14.054087658709431</v>
      </c>
      <c r="O97">
        <v>-3.15</v>
      </c>
      <c r="P97">
        <v>0.6</v>
      </c>
      <c r="Q97">
        <v>1.1000000000000001</v>
      </c>
      <c r="R97">
        <v>0.6</v>
      </c>
      <c r="S97">
        <v>0.02</v>
      </c>
      <c r="T97">
        <v>0.02</v>
      </c>
      <c r="U97">
        <v>0.5</v>
      </c>
      <c r="V97">
        <v>0.5</v>
      </c>
      <c r="W97">
        <v>60</v>
      </c>
      <c r="X97">
        <v>30</v>
      </c>
      <c r="Y97" s="10">
        <v>2.5994842290000002</v>
      </c>
      <c r="Z97" s="10">
        <v>0</v>
      </c>
      <c r="AA97" s="10">
        <v>0.92203927799999996</v>
      </c>
      <c r="AB97" s="10">
        <v>2.8084507040000002</v>
      </c>
      <c r="AC97" s="10">
        <v>0.87189049799999996</v>
      </c>
      <c r="AD97" s="10">
        <v>3.3577464789999998</v>
      </c>
      <c r="AE97" s="10">
        <v>0.79508034100000002</v>
      </c>
      <c r="AF97" s="10">
        <v>3.8946478870000001</v>
      </c>
      <c r="AG97" s="10">
        <v>0</v>
      </c>
      <c r="AH97" s="10">
        <v>5.1267605630000004</v>
      </c>
    </row>
    <row r="98" spans="1:34" x14ac:dyDescent="0.3">
      <c r="A98" t="s">
        <v>136</v>
      </c>
      <c r="B98">
        <v>7100</v>
      </c>
      <c r="C98">
        <v>37.700000000000003</v>
      </c>
      <c r="D98">
        <v>18</v>
      </c>
      <c r="E98">
        <v>20</v>
      </c>
      <c r="F98">
        <v>13.5</v>
      </c>
      <c r="G98">
        <v>5</v>
      </c>
      <c r="H98">
        <v>0.4</v>
      </c>
      <c r="I98">
        <v>37.424999999999997</v>
      </c>
      <c r="J98">
        <v>26.08</v>
      </c>
      <c r="K98">
        <v>16.97</v>
      </c>
      <c r="L98" s="19">
        <f t="shared" si="4"/>
        <v>10.313049308955396</v>
      </c>
      <c r="M98">
        <v>32.045000000000002</v>
      </c>
      <c r="N98" s="19">
        <f t="shared" si="5"/>
        <v>14.087804668861185</v>
      </c>
      <c r="O98">
        <v>-3.15</v>
      </c>
      <c r="P98">
        <v>0.6</v>
      </c>
      <c r="Q98">
        <v>1.1000000000000001</v>
      </c>
      <c r="R98">
        <v>0.6</v>
      </c>
      <c r="S98">
        <v>0.02</v>
      </c>
      <c r="T98">
        <v>0.02</v>
      </c>
      <c r="U98">
        <v>0.5</v>
      </c>
      <c r="V98">
        <v>0.5</v>
      </c>
      <c r="W98">
        <v>60</v>
      </c>
      <c r="X98">
        <v>30</v>
      </c>
      <c r="Y98" s="10">
        <v>8.4820688040000007</v>
      </c>
      <c r="Z98" s="10">
        <v>0</v>
      </c>
      <c r="AA98" s="10">
        <v>2.7619953430000002</v>
      </c>
      <c r="AB98" s="10">
        <v>3.5972208750000001</v>
      </c>
      <c r="AC98" s="10">
        <v>2.553762146</v>
      </c>
      <c r="AD98" s="10">
        <v>4.2963549600000004</v>
      </c>
      <c r="AE98" s="10">
        <v>2.0744504369999999</v>
      </c>
      <c r="AF98" s="10">
        <v>5.3277448500000002</v>
      </c>
      <c r="AG98" s="10">
        <v>0</v>
      </c>
      <c r="AH98" s="10">
        <v>7.605798396</v>
      </c>
    </row>
    <row r="99" spans="1:34" x14ac:dyDescent="0.3">
      <c r="A99" t="s">
        <v>136</v>
      </c>
      <c r="B99">
        <v>6000</v>
      </c>
      <c r="C99">
        <v>37.700000000000003</v>
      </c>
      <c r="D99">
        <v>18</v>
      </c>
      <c r="E99">
        <v>20</v>
      </c>
      <c r="F99">
        <v>13.5</v>
      </c>
      <c r="G99">
        <v>5</v>
      </c>
      <c r="H99">
        <v>0.4</v>
      </c>
      <c r="I99">
        <v>37.424999999999997</v>
      </c>
      <c r="J99">
        <v>26.08</v>
      </c>
      <c r="K99">
        <v>16.97</v>
      </c>
      <c r="L99" s="19">
        <f t="shared" si="4"/>
        <v>10.313049308955396</v>
      </c>
      <c r="M99">
        <v>32.045000000000002</v>
      </c>
      <c r="N99" s="19">
        <f t="shared" si="5"/>
        <v>14.087804668861185</v>
      </c>
      <c r="O99">
        <v>-3.15</v>
      </c>
      <c r="P99">
        <v>0.6</v>
      </c>
      <c r="Q99">
        <v>1.1000000000000001</v>
      </c>
      <c r="R99">
        <v>0.6</v>
      </c>
      <c r="S99">
        <v>0.02</v>
      </c>
      <c r="T99">
        <v>0.02</v>
      </c>
      <c r="U99">
        <v>0.5</v>
      </c>
      <c r="V99">
        <v>0.5</v>
      </c>
      <c r="W99">
        <v>60</v>
      </c>
      <c r="X99">
        <v>30</v>
      </c>
      <c r="Y99" s="10">
        <v>6.057418706</v>
      </c>
      <c r="Z99" s="10">
        <v>0</v>
      </c>
      <c r="AA99" s="10">
        <v>1.9724624550000001</v>
      </c>
      <c r="AB99" s="10">
        <v>3.0399049640000002</v>
      </c>
      <c r="AC99" s="10">
        <v>1.8237539629999999</v>
      </c>
      <c r="AD99" s="10">
        <v>3.6307225019999998</v>
      </c>
      <c r="AE99" s="10">
        <v>1.481456372</v>
      </c>
      <c r="AF99" s="10">
        <v>4.5023195920000001</v>
      </c>
      <c r="AG99" s="10">
        <v>0</v>
      </c>
      <c r="AH99" s="10">
        <v>6.4274352639999996</v>
      </c>
    </row>
    <row r="100" spans="1:34" x14ac:dyDescent="0.3">
      <c r="A100" t="s">
        <v>137</v>
      </c>
      <c r="B100">
        <v>5000</v>
      </c>
      <c r="C100">
        <v>37.700000000000003</v>
      </c>
      <c r="D100">
        <v>18</v>
      </c>
      <c r="E100">
        <v>20</v>
      </c>
      <c r="F100">
        <v>13.5</v>
      </c>
      <c r="G100">
        <v>5</v>
      </c>
      <c r="H100">
        <v>0.4</v>
      </c>
      <c r="I100">
        <v>37.424999999999997</v>
      </c>
      <c r="J100">
        <v>26.08</v>
      </c>
      <c r="K100">
        <v>16.97</v>
      </c>
      <c r="L100" s="19">
        <f t="shared" si="4"/>
        <v>10.313049308955396</v>
      </c>
      <c r="M100">
        <v>32.045000000000002</v>
      </c>
      <c r="N100" s="19">
        <f t="shared" si="5"/>
        <v>14.087804668861185</v>
      </c>
      <c r="O100">
        <v>-3.15</v>
      </c>
      <c r="P100">
        <v>0.6</v>
      </c>
      <c r="Q100">
        <v>1.1000000000000001</v>
      </c>
      <c r="R100">
        <v>0.6</v>
      </c>
      <c r="S100">
        <v>0.02</v>
      </c>
      <c r="T100">
        <v>0.02</v>
      </c>
      <c r="U100">
        <v>0.5</v>
      </c>
      <c r="V100">
        <v>0.5</v>
      </c>
      <c r="W100">
        <v>60</v>
      </c>
      <c r="X100">
        <v>30</v>
      </c>
      <c r="Y100" s="10">
        <v>4.206540768</v>
      </c>
      <c r="Z100" s="10">
        <v>0</v>
      </c>
      <c r="AA100" s="10">
        <v>1.369765594</v>
      </c>
      <c r="AB100" s="10">
        <v>2.5332541370000001</v>
      </c>
      <c r="AC100" s="10">
        <v>1.2664958070000001</v>
      </c>
      <c r="AD100" s="10">
        <v>3.0256020850000001</v>
      </c>
      <c r="AE100" s="10">
        <v>1.0287891469999999</v>
      </c>
      <c r="AF100" s="10">
        <v>3.751932993</v>
      </c>
      <c r="AG100" s="10">
        <v>0</v>
      </c>
      <c r="AH100" s="10">
        <v>5.3561960529999997</v>
      </c>
    </row>
    <row r="101" spans="1:34" x14ac:dyDescent="0.3">
      <c r="A101" t="s">
        <v>137</v>
      </c>
      <c r="B101">
        <v>4000</v>
      </c>
      <c r="C101">
        <v>37.700000000000003</v>
      </c>
      <c r="D101">
        <v>18</v>
      </c>
      <c r="E101">
        <v>20</v>
      </c>
      <c r="F101">
        <v>13.5</v>
      </c>
      <c r="G101">
        <v>5</v>
      </c>
      <c r="H101">
        <v>0.4</v>
      </c>
      <c r="I101">
        <v>37.424999999999997</v>
      </c>
      <c r="J101">
        <v>26.08</v>
      </c>
      <c r="K101">
        <v>16.97</v>
      </c>
      <c r="L101" s="19">
        <f t="shared" si="4"/>
        <v>10.313049308955396</v>
      </c>
      <c r="M101">
        <v>32.045000000000002</v>
      </c>
      <c r="N101" s="19">
        <f t="shared" si="5"/>
        <v>14.087804668861185</v>
      </c>
      <c r="O101">
        <v>-3.15</v>
      </c>
      <c r="P101">
        <v>0.6</v>
      </c>
      <c r="Q101">
        <v>1.1000000000000001</v>
      </c>
      <c r="R101">
        <v>0.6</v>
      </c>
      <c r="S101">
        <v>0.02</v>
      </c>
      <c r="T101">
        <v>0.02</v>
      </c>
      <c r="U101">
        <v>0.5</v>
      </c>
      <c r="V101">
        <v>0.5</v>
      </c>
      <c r="W101">
        <v>60</v>
      </c>
      <c r="X101">
        <v>30</v>
      </c>
      <c r="Y101" s="10">
        <v>2.6921860909999999</v>
      </c>
      <c r="Z101" s="10">
        <v>0</v>
      </c>
      <c r="AA101" s="10">
        <v>0.87664998000000005</v>
      </c>
      <c r="AB101" s="10">
        <v>2.02660331</v>
      </c>
      <c r="AC101" s="10">
        <v>0.810557317</v>
      </c>
      <c r="AD101" s="10">
        <v>2.4204816679999999</v>
      </c>
      <c r="AE101" s="10">
        <v>0.65842505399999995</v>
      </c>
      <c r="AF101" s="10">
        <v>3.0015463950000001</v>
      </c>
      <c r="AG101" s="10">
        <v>0</v>
      </c>
      <c r="AH101" s="10">
        <v>4.2849568429999998</v>
      </c>
    </row>
    <row r="102" spans="1:34" s="7" customFormat="1" x14ac:dyDescent="0.3">
      <c r="A102" s="7" t="s">
        <v>138</v>
      </c>
      <c r="B102" s="7">
        <v>7100</v>
      </c>
      <c r="C102" s="7">
        <v>37.700000000000003</v>
      </c>
      <c r="D102" s="7">
        <v>18</v>
      </c>
      <c r="E102" s="7">
        <v>20</v>
      </c>
      <c r="F102" s="7">
        <v>12</v>
      </c>
      <c r="G102" s="7">
        <v>4</v>
      </c>
      <c r="H102" s="7">
        <v>0.4</v>
      </c>
      <c r="I102" s="7">
        <v>51.9</v>
      </c>
      <c r="J102" s="7">
        <v>35</v>
      </c>
      <c r="K102" s="7">
        <v>13</v>
      </c>
      <c r="L102" s="7">
        <f t="shared" si="4"/>
        <v>10.230155285497384</v>
      </c>
      <c r="M102" s="7">
        <v>23</v>
      </c>
      <c r="N102" s="7">
        <f t="shared" si="5"/>
        <v>13.192258036074058</v>
      </c>
      <c r="O102" s="7">
        <v>-3.15</v>
      </c>
      <c r="P102" s="7">
        <v>0.6</v>
      </c>
      <c r="Q102" s="7">
        <v>1</v>
      </c>
      <c r="R102" s="7">
        <v>0.4</v>
      </c>
      <c r="S102" s="7">
        <v>0.06</v>
      </c>
      <c r="T102" s="7">
        <v>0.15</v>
      </c>
      <c r="U102" s="7">
        <v>0.6</v>
      </c>
      <c r="V102" s="7">
        <v>0.4</v>
      </c>
      <c r="W102" s="7">
        <v>60</v>
      </c>
      <c r="X102" s="7">
        <v>10</v>
      </c>
      <c r="Y102" s="25">
        <v>6.11</v>
      </c>
      <c r="Z102" s="25">
        <v>0</v>
      </c>
      <c r="AA102" s="25">
        <v>2.1320000000000001</v>
      </c>
      <c r="AB102" s="25">
        <v>4.9850000000000003</v>
      </c>
      <c r="AC102" s="25">
        <v>2.0209999999999999</v>
      </c>
      <c r="AD102" s="25">
        <v>6.9139999999999997</v>
      </c>
      <c r="AE102" s="25">
        <v>1.6080000000000001</v>
      </c>
      <c r="AF102" s="25">
        <v>9.2899999999999991</v>
      </c>
      <c r="AG102" s="25">
        <v>0</v>
      </c>
      <c r="AH102" s="25">
        <v>11.61</v>
      </c>
    </row>
    <row r="103" spans="1:34" s="7" customFormat="1" x14ac:dyDescent="0.3">
      <c r="A103" s="7" t="s">
        <v>138</v>
      </c>
      <c r="B103" s="7">
        <v>6000</v>
      </c>
      <c r="C103" s="7">
        <v>37.700000000000003</v>
      </c>
      <c r="D103" s="7">
        <v>18</v>
      </c>
      <c r="E103" s="7">
        <v>20</v>
      </c>
      <c r="F103" s="7">
        <v>12</v>
      </c>
      <c r="G103" s="7">
        <v>4</v>
      </c>
      <c r="H103" s="7">
        <v>0.4</v>
      </c>
      <c r="I103" s="7">
        <v>51.9</v>
      </c>
      <c r="J103" s="7">
        <v>35</v>
      </c>
      <c r="K103" s="7">
        <v>13</v>
      </c>
      <c r="L103" s="7">
        <f t="shared" si="4"/>
        <v>10.230155285497384</v>
      </c>
      <c r="M103" s="7">
        <v>23</v>
      </c>
      <c r="N103" s="7">
        <f t="shared" si="5"/>
        <v>13.192258036074058</v>
      </c>
      <c r="O103" s="7">
        <v>-3.15</v>
      </c>
      <c r="P103" s="7">
        <v>0.6</v>
      </c>
      <c r="Q103" s="7">
        <v>1</v>
      </c>
      <c r="R103" s="7">
        <v>0.4</v>
      </c>
      <c r="S103" s="7">
        <v>0.06</v>
      </c>
      <c r="T103" s="7">
        <v>0.15</v>
      </c>
      <c r="U103" s="7">
        <v>0.6</v>
      </c>
      <c r="V103" s="7">
        <v>0.4</v>
      </c>
      <c r="W103" s="7">
        <v>60</v>
      </c>
      <c r="X103" s="7">
        <v>10</v>
      </c>
      <c r="Y103" s="25">
        <v>4.3634199560000004</v>
      </c>
      <c r="Z103" s="25">
        <v>0</v>
      </c>
      <c r="AA103" s="25">
        <v>1.5225550489999999</v>
      </c>
      <c r="AB103" s="25">
        <v>4.2126760560000003</v>
      </c>
      <c r="AC103" s="25">
        <v>1.443285062</v>
      </c>
      <c r="AD103" s="25">
        <v>5.842816901</v>
      </c>
      <c r="AE103" s="25">
        <v>1.1483435829999999</v>
      </c>
      <c r="AF103" s="25">
        <v>7.8507042250000003</v>
      </c>
      <c r="AG103" s="25">
        <v>0</v>
      </c>
      <c r="AH103" s="25">
        <v>9.8112676059999995</v>
      </c>
    </row>
    <row r="104" spans="1:34" s="7" customFormat="1" x14ac:dyDescent="0.3">
      <c r="A104" s="7" t="s">
        <v>139</v>
      </c>
      <c r="B104" s="7">
        <v>5000</v>
      </c>
      <c r="C104" s="7">
        <v>37.700000000000003</v>
      </c>
      <c r="D104" s="7">
        <v>18</v>
      </c>
      <c r="E104" s="7">
        <v>20</v>
      </c>
      <c r="F104" s="7">
        <v>12</v>
      </c>
      <c r="G104" s="7">
        <v>4</v>
      </c>
      <c r="H104" s="7">
        <v>0.4</v>
      </c>
      <c r="I104" s="7">
        <v>51.9</v>
      </c>
      <c r="J104" s="7">
        <v>35</v>
      </c>
      <c r="K104" s="7">
        <v>13</v>
      </c>
      <c r="L104" s="7">
        <f t="shared" si="4"/>
        <v>10.230155285497384</v>
      </c>
      <c r="M104" s="7">
        <v>23</v>
      </c>
      <c r="N104" s="7">
        <f t="shared" si="5"/>
        <v>13.192258036074058</v>
      </c>
      <c r="O104" s="7">
        <v>-3.15</v>
      </c>
      <c r="P104" s="7">
        <v>0.6</v>
      </c>
      <c r="Q104" s="7">
        <v>1</v>
      </c>
      <c r="R104" s="7">
        <v>0.4</v>
      </c>
      <c r="S104" s="7">
        <v>0.06</v>
      </c>
      <c r="T104" s="7">
        <v>0.15</v>
      </c>
      <c r="U104" s="7">
        <v>0.6</v>
      </c>
      <c r="V104" s="7">
        <v>0.4</v>
      </c>
      <c r="W104" s="7">
        <v>60</v>
      </c>
      <c r="X104" s="7">
        <v>10</v>
      </c>
      <c r="Y104" s="25">
        <v>3.0301527469999998</v>
      </c>
      <c r="Z104" s="25">
        <v>0</v>
      </c>
      <c r="AA104" s="25">
        <v>1.0573298950000001</v>
      </c>
      <c r="AB104" s="25">
        <v>3.5105633799999998</v>
      </c>
      <c r="AC104" s="25">
        <v>1.002281293</v>
      </c>
      <c r="AD104" s="25">
        <v>4.8690140849999999</v>
      </c>
      <c r="AE104" s="25">
        <v>0.79746082100000004</v>
      </c>
      <c r="AF104" s="25">
        <v>6.5422535210000001</v>
      </c>
      <c r="AG104" s="25">
        <v>0</v>
      </c>
      <c r="AH104" s="25">
        <v>8.1760563380000004</v>
      </c>
    </row>
    <row r="105" spans="1:34" s="7" customFormat="1" x14ac:dyDescent="0.3">
      <c r="A105" s="7" t="s">
        <v>139</v>
      </c>
      <c r="B105" s="7">
        <v>4000</v>
      </c>
      <c r="C105" s="7">
        <v>37.700000000000003</v>
      </c>
      <c r="D105" s="7">
        <v>18</v>
      </c>
      <c r="E105" s="7">
        <v>20</v>
      </c>
      <c r="F105" s="7">
        <v>12</v>
      </c>
      <c r="G105" s="7">
        <v>4</v>
      </c>
      <c r="H105" s="7">
        <v>0.4</v>
      </c>
      <c r="I105" s="7">
        <v>51.9</v>
      </c>
      <c r="J105" s="7">
        <v>35</v>
      </c>
      <c r="K105" s="7">
        <v>13</v>
      </c>
      <c r="L105" s="7">
        <f t="shared" si="4"/>
        <v>10.230155285497384</v>
      </c>
      <c r="M105" s="7">
        <v>23</v>
      </c>
      <c r="N105" s="7">
        <f t="shared" si="5"/>
        <v>13.192258036074058</v>
      </c>
      <c r="O105" s="7">
        <v>-3.15</v>
      </c>
      <c r="P105" s="7">
        <v>0.6</v>
      </c>
      <c r="Q105" s="7">
        <v>1</v>
      </c>
      <c r="R105" s="7">
        <v>0.4</v>
      </c>
      <c r="S105" s="7">
        <v>0.06</v>
      </c>
      <c r="T105" s="7">
        <v>0.15</v>
      </c>
      <c r="U105" s="7">
        <v>0.6</v>
      </c>
      <c r="V105" s="7">
        <v>0.4</v>
      </c>
      <c r="W105" s="7">
        <v>60</v>
      </c>
      <c r="X105" s="7">
        <v>10</v>
      </c>
      <c r="Y105" s="25">
        <v>1.9392977579999999</v>
      </c>
      <c r="Z105" s="25">
        <v>0</v>
      </c>
      <c r="AA105" s="25">
        <v>0.67669113299999994</v>
      </c>
      <c r="AB105" s="25">
        <v>2.8084507040000002</v>
      </c>
      <c r="AC105" s="25">
        <v>0.64146002800000002</v>
      </c>
      <c r="AD105" s="25">
        <v>3.8952112680000002</v>
      </c>
      <c r="AE105" s="25">
        <v>0.51037492600000001</v>
      </c>
      <c r="AF105" s="25">
        <v>5.2338028169999999</v>
      </c>
      <c r="AG105" s="25">
        <v>0</v>
      </c>
      <c r="AH105" s="25">
        <v>6.5408450699999996</v>
      </c>
    </row>
    <row r="106" spans="1:34" s="7" customFormat="1" x14ac:dyDescent="0.3">
      <c r="A106" s="7" t="s">
        <v>141</v>
      </c>
      <c r="B106" s="7">
        <v>7100</v>
      </c>
      <c r="C106" s="7">
        <v>37.700000000000003</v>
      </c>
      <c r="D106" s="7">
        <v>18</v>
      </c>
      <c r="E106" s="7">
        <v>20</v>
      </c>
      <c r="F106" s="7">
        <v>12</v>
      </c>
      <c r="G106" s="7">
        <v>4</v>
      </c>
      <c r="H106" s="7">
        <v>0.4</v>
      </c>
      <c r="I106" s="7">
        <v>51.9</v>
      </c>
      <c r="J106" s="7">
        <v>25.76</v>
      </c>
      <c r="K106" s="7">
        <v>13</v>
      </c>
      <c r="L106" s="7">
        <f t="shared" si="4"/>
        <v>10.230155285497384</v>
      </c>
      <c r="M106" s="7">
        <v>30</v>
      </c>
      <c r="N106" s="7">
        <f t="shared" si="5"/>
        <v>13.038073568552109</v>
      </c>
      <c r="O106" s="7">
        <v>-3.15</v>
      </c>
      <c r="P106" s="7">
        <v>0.6</v>
      </c>
      <c r="Q106" s="7">
        <v>1</v>
      </c>
      <c r="R106" s="7">
        <v>0.4</v>
      </c>
      <c r="S106" s="7">
        <v>0.06</v>
      </c>
      <c r="T106" s="7">
        <v>0.08</v>
      </c>
      <c r="U106" s="7">
        <v>0.6</v>
      </c>
      <c r="V106" s="7">
        <v>0.4</v>
      </c>
      <c r="W106" s="7">
        <v>45</v>
      </c>
      <c r="X106" s="7">
        <v>10</v>
      </c>
      <c r="Y106" s="25">
        <v>7.88</v>
      </c>
      <c r="Z106" s="25">
        <v>0</v>
      </c>
      <c r="AA106" s="25">
        <v>2.7719999999999998</v>
      </c>
      <c r="AB106" s="25">
        <v>3.9849999999999999</v>
      </c>
      <c r="AC106" s="25">
        <v>2.4420000000000002</v>
      </c>
      <c r="AD106" s="25">
        <v>5.9630000000000001</v>
      </c>
      <c r="AE106" s="25">
        <v>1.7010000000000001</v>
      </c>
      <c r="AF106" s="25">
        <v>7.9640000000000004</v>
      </c>
      <c r="AG106" s="25">
        <v>0</v>
      </c>
      <c r="AH106" s="25">
        <v>10.29</v>
      </c>
    </row>
    <row r="107" spans="1:34" s="7" customFormat="1" x14ac:dyDescent="0.3">
      <c r="A107" s="7" t="s">
        <v>142</v>
      </c>
      <c r="B107" s="7">
        <v>6000</v>
      </c>
      <c r="C107" s="7">
        <v>37.700000000000003</v>
      </c>
      <c r="D107" s="7">
        <v>18</v>
      </c>
      <c r="E107" s="7">
        <v>20</v>
      </c>
      <c r="F107" s="7">
        <v>12</v>
      </c>
      <c r="G107" s="7">
        <v>4</v>
      </c>
      <c r="H107" s="7">
        <v>0.4</v>
      </c>
      <c r="I107" s="7">
        <v>51.9</v>
      </c>
      <c r="J107" s="7">
        <v>25.76</v>
      </c>
      <c r="K107" s="7">
        <v>13</v>
      </c>
      <c r="L107" s="7">
        <f t="shared" si="4"/>
        <v>10.230155285497384</v>
      </c>
      <c r="M107" s="7">
        <v>30</v>
      </c>
      <c r="N107" s="7">
        <f t="shared" si="5"/>
        <v>13.038073568552109</v>
      </c>
      <c r="O107" s="7">
        <v>-3.15</v>
      </c>
      <c r="P107" s="7">
        <v>0.6</v>
      </c>
      <c r="Q107" s="7">
        <v>1</v>
      </c>
      <c r="R107" s="7">
        <v>0.4</v>
      </c>
      <c r="S107" s="7">
        <v>0.06</v>
      </c>
      <c r="T107" s="7">
        <v>0.08</v>
      </c>
      <c r="U107" s="7">
        <v>0.6</v>
      </c>
      <c r="V107" s="7">
        <v>0.4</v>
      </c>
      <c r="W107" s="7">
        <v>45</v>
      </c>
      <c r="X107" s="7">
        <v>10</v>
      </c>
      <c r="Y107" s="25">
        <v>5.6274548700000002</v>
      </c>
      <c r="Z107" s="25">
        <v>0</v>
      </c>
      <c r="AA107" s="25">
        <v>1.979607221</v>
      </c>
      <c r="AB107" s="25">
        <v>3.3676056339999998</v>
      </c>
      <c r="AC107" s="25">
        <v>1.7439396949999999</v>
      </c>
      <c r="AD107" s="25">
        <v>5.0391549299999996</v>
      </c>
      <c r="AE107" s="25">
        <v>1.2147589759999999</v>
      </c>
      <c r="AF107" s="25">
        <v>6.7301408450000002</v>
      </c>
      <c r="AG107" s="25">
        <v>0</v>
      </c>
      <c r="AH107" s="25">
        <v>8.6957746480000004</v>
      </c>
    </row>
    <row r="108" spans="1:34" s="7" customFormat="1" x14ac:dyDescent="0.3">
      <c r="A108" s="7" t="s">
        <v>140</v>
      </c>
      <c r="B108" s="7">
        <v>5000</v>
      </c>
      <c r="C108" s="7">
        <v>37.700000000000003</v>
      </c>
      <c r="D108" s="7">
        <v>18</v>
      </c>
      <c r="E108" s="7">
        <v>20</v>
      </c>
      <c r="F108" s="7">
        <v>12</v>
      </c>
      <c r="G108" s="7">
        <v>4</v>
      </c>
      <c r="H108" s="7">
        <v>0.4</v>
      </c>
      <c r="I108" s="7">
        <v>51.9</v>
      </c>
      <c r="J108" s="7">
        <v>25.76</v>
      </c>
      <c r="K108" s="7">
        <v>13</v>
      </c>
      <c r="L108" s="7">
        <f t="shared" si="4"/>
        <v>10.230155285497384</v>
      </c>
      <c r="M108" s="7">
        <v>30</v>
      </c>
      <c r="N108" s="7">
        <f t="shared" si="5"/>
        <v>13.038073568552109</v>
      </c>
      <c r="O108" s="7">
        <v>-3.15</v>
      </c>
      <c r="P108" s="7">
        <v>0.6</v>
      </c>
      <c r="Q108" s="7">
        <v>1</v>
      </c>
      <c r="R108" s="7">
        <v>0.4</v>
      </c>
      <c r="S108" s="7">
        <v>0.06</v>
      </c>
      <c r="T108" s="7">
        <v>0.08</v>
      </c>
      <c r="U108" s="7">
        <v>0.6</v>
      </c>
      <c r="V108" s="7">
        <v>0.4</v>
      </c>
      <c r="W108" s="7">
        <v>45</v>
      </c>
      <c r="X108" s="7">
        <v>10</v>
      </c>
      <c r="Y108" s="25">
        <v>3.907954771</v>
      </c>
      <c r="Z108" s="25">
        <v>0</v>
      </c>
      <c r="AA108" s="25">
        <v>1.3747272370000001</v>
      </c>
      <c r="AB108" s="25">
        <v>2.8063380279999999</v>
      </c>
      <c r="AC108" s="25">
        <v>1.2110692320000001</v>
      </c>
      <c r="AD108" s="25">
        <v>4.1992957750000004</v>
      </c>
      <c r="AE108" s="25">
        <v>0.843582622</v>
      </c>
      <c r="AF108" s="25">
        <v>5.608450704</v>
      </c>
      <c r="AG108" s="25">
        <v>0</v>
      </c>
      <c r="AH108" s="25">
        <v>7.246478873</v>
      </c>
    </row>
    <row r="109" spans="1:34" s="7" customFormat="1" x14ac:dyDescent="0.3">
      <c r="A109" s="7" t="s">
        <v>140</v>
      </c>
      <c r="B109" s="7">
        <v>4000</v>
      </c>
      <c r="C109" s="7">
        <v>37.700000000000003</v>
      </c>
      <c r="D109" s="7">
        <v>18</v>
      </c>
      <c r="E109" s="7">
        <v>20</v>
      </c>
      <c r="F109" s="7">
        <v>12</v>
      </c>
      <c r="G109" s="7">
        <v>4</v>
      </c>
      <c r="H109" s="7">
        <v>0.4</v>
      </c>
      <c r="I109" s="7">
        <v>51.9</v>
      </c>
      <c r="J109" s="7">
        <v>25.76</v>
      </c>
      <c r="K109" s="7">
        <v>13</v>
      </c>
      <c r="L109" s="7">
        <f t="shared" si="4"/>
        <v>10.230155285497384</v>
      </c>
      <c r="M109" s="7">
        <v>30</v>
      </c>
      <c r="N109" s="7">
        <f t="shared" si="5"/>
        <v>13.038073568552109</v>
      </c>
      <c r="O109" s="7">
        <v>-3.15</v>
      </c>
      <c r="P109" s="7">
        <v>0.6</v>
      </c>
      <c r="Q109" s="7">
        <v>1</v>
      </c>
      <c r="R109" s="7">
        <v>0.4</v>
      </c>
      <c r="S109" s="7">
        <v>0.06</v>
      </c>
      <c r="T109" s="7">
        <v>0.08</v>
      </c>
      <c r="U109" s="7">
        <v>0.6</v>
      </c>
      <c r="V109" s="7">
        <v>0.4</v>
      </c>
      <c r="W109" s="7">
        <v>45</v>
      </c>
      <c r="X109" s="7">
        <v>10</v>
      </c>
      <c r="Y109" s="25">
        <v>2.5010910530000001</v>
      </c>
      <c r="Z109" s="25">
        <v>0</v>
      </c>
      <c r="AA109" s="25">
        <v>0.87982543099999999</v>
      </c>
      <c r="AB109" s="25">
        <v>2.245070423</v>
      </c>
      <c r="AC109" s="25">
        <v>0.77508430900000003</v>
      </c>
      <c r="AD109" s="25">
        <v>3.3594366199999999</v>
      </c>
      <c r="AE109" s="25">
        <v>0.53989287799999996</v>
      </c>
      <c r="AF109" s="25">
        <v>4.4867605629999998</v>
      </c>
      <c r="AG109" s="25">
        <v>0</v>
      </c>
      <c r="AH109" s="25">
        <v>5.7971830989999997</v>
      </c>
    </row>
    <row r="110" spans="1:34" x14ac:dyDescent="0.3">
      <c r="A110" t="s">
        <v>143</v>
      </c>
      <c r="B110">
        <v>7100</v>
      </c>
      <c r="C110">
        <v>37.700000000000003</v>
      </c>
      <c r="D110">
        <v>18</v>
      </c>
      <c r="E110">
        <v>20</v>
      </c>
      <c r="F110">
        <v>12</v>
      </c>
      <c r="G110">
        <v>4</v>
      </c>
      <c r="H110">
        <v>0.4</v>
      </c>
      <c r="I110">
        <v>51.9</v>
      </c>
      <c r="J110">
        <v>27.85</v>
      </c>
      <c r="K110">
        <v>13</v>
      </c>
      <c r="L110" s="19">
        <f t="shared" si="4"/>
        <v>10.230155285497384</v>
      </c>
      <c r="M110">
        <v>29.97</v>
      </c>
      <c r="N110" s="19">
        <f t="shared" si="5"/>
        <v>14.000737403273252</v>
      </c>
      <c r="O110">
        <v>-3.15</v>
      </c>
      <c r="P110">
        <v>0.6</v>
      </c>
      <c r="Q110">
        <v>1</v>
      </c>
      <c r="R110">
        <v>0.4</v>
      </c>
      <c r="S110">
        <v>0.06</v>
      </c>
      <c r="T110">
        <v>0.08</v>
      </c>
      <c r="U110">
        <v>0.6</v>
      </c>
      <c r="V110">
        <v>0.4</v>
      </c>
      <c r="W110">
        <v>45</v>
      </c>
      <c r="X110">
        <v>10</v>
      </c>
      <c r="Y110" s="10">
        <v>8.34</v>
      </c>
      <c r="Z110" s="10">
        <v>0</v>
      </c>
      <c r="AA110" s="10">
        <v>2.9430000000000001</v>
      </c>
      <c r="AB110" s="10">
        <v>3.984</v>
      </c>
      <c r="AC110" s="10">
        <v>2.4300000000000002</v>
      </c>
      <c r="AD110" s="10">
        <v>5.96</v>
      </c>
      <c r="AE110" s="10">
        <v>1.8580000000000001</v>
      </c>
      <c r="AF110" s="10">
        <v>7.9640000000000004</v>
      </c>
      <c r="AG110" s="10">
        <v>0</v>
      </c>
      <c r="AH110" s="10">
        <v>10.46</v>
      </c>
    </row>
    <row r="111" spans="1:34" x14ac:dyDescent="0.3">
      <c r="A111" t="s">
        <v>143</v>
      </c>
      <c r="B111">
        <v>6000</v>
      </c>
      <c r="C111">
        <v>37.700000000000003</v>
      </c>
      <c r="D111">
        <v>18</v>
      </c>
      <c r="E111">
        <v>20</v>
      </c>
      <c r="F111">
        <v>12</v>
      </c>
      <c r="G111">
        <v>4</v>
      </c>
      <c r="H111">
        <v>0.4</v>
      </c>
      <c r="I111">
        <v>51.9</v>
      </c>
      <c r="J111">
        <v>27.85</v>
      </c>
      <c r="K111">
        <v>13</v>
      </c>
      <c r="L111" s="19">
        <f t="shared" si="4"/>
        <v>10.230155285497384</v>
      </c>
      <c r="M111">
        <v>29.97</v>
      </c>
      <c r="N111" s="19">
        <f t="shared" si="5"/>
        <v>14.000737403273252</v>
      </c>
      <c r="O111">
        <v>-3.15</v>
      </c>
      <c r="P111">
        <v>0.6</v>
      </c>
      <c r="Q111">
        <v>1</v>
      </c>
      <c r="R111">
        <v>0.4</v>
      </c>
      <c r="S111">
        <v>0.06</v>
      </c>
      <c r="T111">
        <v>0.08</v>
      </c>
      <c r="U111">
        <v>0.6</v>
      </c>
      <c r="V111">
        <v>0.4</v>
      </c>
      <c r="W111">
        <v>45</v>
      </c>
      <c r="X111">
        <v>10</v>
      </c>
      <c r="Y111" s="10">
        <v>5.9559611190000004</v>
      </c>
      <c r="Z111" s="10">
        <v>0</v>
      </c>
      <c r="AA111" s="10">
        <v>2.1017258480000001</v>
      </c>
      <c r="AB111" s="10">
        <v>3.3667605630000002</v>
      </c>
      <c r="AC111" s="10">
        <v>1.7353699659999999</v>
      </c>
      <c r="AD111" s="10">
        <v>5.0366197179999999</v>
      </c>
      <c r="AE111" s="10">
        <v>1.3268795870000001</v>
      </c>
      <c r="AF111" s="10">
        <v>6.7301408450000002</v>
      </c>
      <c r="AG111" s="10">
        <v>0</v>
      </c>
      <c r="AH111" s="10">
        <v>8.8394366200000007</v>
      </c>
    </row>
    <row r="112" spans="1:34" x14ac:dyDescent="0.3">
      <c r="A112" t="s">
        <v>143</v>
      </c>
      <c r="B112">
        <v>5000</v>
      </c>
      <c r="C112">
        <v>37.700000000000003</v>
      </c>
      <c r="D112">
        <v>18</v>
      </c>
      <c r="E112">
        <v>20</v>
      </c>
      <c r="F112">
        <v>12</v>
      </c>
      <c r="G112">
        <v>4</v>
      </c>
      <c r="H112">
        <v>0.4</v>
      </c>
      <c r="I112">
        <v>51.9</v>
      </c>
      <c r="J112">
        <v>27.85</v>
      </c>
      <c r="K112">
        <v>13</v>
      </c>
      <c r="L112" s="19">
        <f t="shared" si="4"/>
        <v>10.230155285497384</v>
      </c>
      <c r="M112">
        <v>29.97</v>
      </c>
      <c r="N112" s="19">
        <f t="shared" si="5"/>
        <v>14.000737403273252</v>
      </c>
      <c r="O112">
        <v>-3.15</v>
      </c>
      <c r="P112">
        <v>0.6</v>
      </c>
      <c r="Q112">
        <v>1</v>
      </c>
      <c r="R112">
        <v>0.4</v>
      </c>
      <c r="S112">
        <v>0.06</v>
      </c>
      <c r="T112">
        <v>0.08</v>
      </c>
      <c r="U112">
        <v>0.6</v>
      </c>
      <c r="V112">
        <v>0.4</v>
      </c>
      <c r="W112">
        <v>45</v>
      </c>
      <c r="X112">
        <v>10</v>
      </c>
      <c r="Y112" s="10">
        <v>4.1360841099999996</v>
      </c>
      <c r="Z112" s="10">
        <v>0</v>
      </c>
      <c r="AA112" s="10">
        <v>1.4595318390000001</v>
      </c>
      <c r="AB112" s="10">
        <v>2.8056338030000001</v>
      </c>
      <c r="AC112" s="10">
        <v>1.2051180319999999</v>
      </c>
      <c r="AD112" s="10">
        <v>4.1971830990000001</v>
      </c>
      <c r="AE112" s="10">
        <v>0.92144415800000001</v>
      </c>
      <c r="AF112" s="10">
        <v>5.608450704</v>
      </c>
      <c r="AG112" s="10">
        <v>0</v>
      </c>
      <c r="AH112" s="10">
        <v>7.3661971829999997</v>
      </c>
    </row>
    <row r="113" spans="1:34" x14ac:dyDescent="0.3">
      <c r="A113" t="s">
        <v>144</v>
      </c>
      <c r="B113">
        <v>4000</v>
      </c>
      <c r="C113">
        <v>37.700000000000003</v>
      </c>
      <c r="D113">
        <v>18</v>
      </c>
      <c r="E113">
        <v>20</v>
      </c>
      <c r="F113">
        <v>12</v>
      </c>
      <c r="G113">
        <v>4</v>
      </c>
      <c r="H113">
        <v>0.4</v>
      </c>
      <c r="I113">
        <v>51.9</v>
      </c>
      <c r="J113">
        <v>27.85</v>
      </c>
      <c r="K113">
        <v>13</v>
      </c>
      <c r="L113" s="19">
        <f t="shared" si="4"/>
        <v>10.230155285497384</v>
      </c>
      <c r="M113">
        <v>29.97</v>
      </c>
      <c r="N113" s="19">
        <f t="shared" si="5"/>
        <v>14.000737403273252</v>
      </c>
      <c r="O113">
        <v>-3.15</v>
      </c>
      <c r="P113">
        <v>0.6</v>
      </c>
      <c r="Q113">
        <v>1</v>
      </c>
      <c r="R113">
        <v>0.4</v>
      </c>
      <c r="S113">
        <v>0.06</v>
      </c>
      <c r="T113">
        <v>0.08</v>
      </c>
      <c r="U113">
        <v>0.6</v>
      </c>
      <c r="V113">
        <v>0.4</v>
      </c>
      <c r="W113">
        <v>45</v>
      </c>
      <c r="X113">
        <v>10</v>
      </c>
      <c r="Y113" s="10">
        <v>2.6470938309999998</v>
      </c>
      <c r="Z113" s="10">
        <v>0</v>
      </c>
      <c r="AA113" s="10">
        <v>0.93410037700000004</v>
      </c>
      <c r="AB113" s="10">
        <v>2.244507042</v>
      </c>
      <c r="AC113" s="10">
        <v>0.77127554099999995</v>
      </c>
      <c r="AD113" s="10">
        <v>3.3577464789999998</v>
      </c>
      <c r="AE113" s="10">
        <v>0.58972426099999997</v>
      </c>
      <c r="AF113" s="10">
        <v>4.4867605629999998</v>
      </c>
      <c r="AG113" s="10">
        <v>0</v>
      </c>
      <c r="AH113" s="10">
        <v>5.8929577460000004</v>
      </c>
    </row>
    <row r="114" spans="1:34" x14ac:dyDescent="0.3">
      <c r="A114" t="s">
        <v>145</v>
      </c>
      <c r="B114">
        <v>7500</v>
      </c>
      <c r="C114">
        <v>39.799999999999997</v>
      </c>
      <c r="D114">
        <v>20.96</v>
      </c>
      <c r="E114">
        <v>20</v>
      </c>
      <c r="F114">
        <v>8.85</v>
      </c>
      <c r="G114">
        <v>7</v>
      </c>
      <c r="H114">
        <v>0.6</v>
      </c>
      <c r="I114">
        <v>44.7</v>
      </c>
      <c r="J114">
        <v>36.299999999999997</v>
      </c>
      <c r="K114">
        <v>10.64</v>
      </c>
      <c r="L114" s="19">
        <f t="shared" si="4"/>
        <v>7.4841196379037624</v>
      </c>
      <c r="M114">
        <v>18.72</v>
      </c>
      <c r="N114" s="19">
        <f t="shared" si="5"/>
        <v>11.08248670712139</v>
      </c>
      <c r="O114">
        <v>-1.4</v>
      </c>
      <c r="P114">
        <v>2.2000000000000002</v>
      </c>
      <c r="Q114">
        <v>1.1499999999999999</v>
      </c>
      <c r="R114">
        <v>0.7</v>
      </c>
      <c r="S114">
        <v>0.02</v>
      </c>
      <c r="T114">
        <v>0.02</v>
      </c>
      <c r="U114">
        <v>0.5</v>
      </c>
      <c r="V114">
        <v>0.5</v>
      </c>
      <c r="W114">
        <v>25</v>
      </c>
      <c r="X114">
        <v>250</v>
      </c>
      <c r="Y114" s="10">
        <v>7.8849651979999997</v>
      </c>
      <c r="Z114" s="10">
        <v>0</v>
      </c>
      <c r="AA114" s="10">
        <v>2.282820004</v>
      </c>
      <c r="AB114" s="10">
        <v>6.135861362</v>
      </c>
      <c r="AC114" s="10">
        <v>1.6959887549999999</v>
      </c>
      <c r="AD114" s="10">
        <v>7.7876348330000003</v>
      </c>
      <c r="AE114" s="10">
        <v>1.5733967390000001</v>
      </c>
      <c r="AF114" s="10">
        <v>9.5861165390000007</v>
      </c>
      <c r="AG114" s="10">
        <v>0</v>
      </c>
      <c r="AH114" s="10">
        <v>11.993827359999999</v>
      </c>
    </row>
    <row r="115" spans="1:34" x14ac:dyDescent="0.3">
      <c r="A115" t="s">
        <v>145</v>
      </c>
      <c r="B115">
        <v>7000</v>
      </c>
      <c r="C115">
        <v>39.799999999999997</v>
      </c>
      <c r="D115">
        <v>20.96</v>
      </c>
      <c r="E115">
        <v>20</v>
      </c>
      <c r="F115">
        <v>8.85</v>
      </c>
      <c r="G115">
        <v>7</v>
      </c>
      <c r="H115">
        <v>0.6</v>
      </c>
      <c r="I115">
        <v>44.7</v>
      </c>
      <c r="J115">
        <v>36.299999999999997</v>
      </c>
      <c r="K115">
        <v>10.64</v>
      </c>
      <c r="L115" s="19">
        <f t="shared" si="4"/>
        <v>7.4841196379037624</v>
      </c>
      <c r="M115">
        <v>18.72</v>
      </c>
      <c r="N115" s="19">
        <f t="shared" si="5"/>
        <v>11.08248670712139</v>
      </c>
      <c r="O115">
        <v>-1.4</v>
      </c>
      <c r="P115">
        <v>2.2000000000000002</v>
      </c>
      <c r="Q115">
        <v>1.1499999999999999</v>
      </c>
      <c r="R115">
        <v>0.7</v>
      </c>
      <c r="S115">
        <v>0.02</v>
      </c>
      <c r="T115">
        <v>0.02</v>
      </c>
      <c r="U115">
        <v>0.5</v>
      </c>
      <c r="V115">
        <v>0.5</v>
      </c>
      <c r="W115">
        <v>25</v>
      </c>
      <c r="X115">
        <v>250</v>
      </c>
      <c r="Y115" s="10">
        <v>6.8686807940000003</v>
      </c>
      <c r="Z115" s="10">
        <v>0</v>
      </c>
      <c r="AA115" s="10">
        <v>1.98858987</v>
      </c>
      <c r="AB115" s="10">
        <v>5.7268039379999998</v>
      </c>
      <c r="AC115" s="10">
        <v>1.4773946490000001</v>
      </c>
      <c r="AD115" s="10">
        <v>7.2684591779999996</v>
      </c>
      <c r="AE115" s="10">
        <v>1.3706033820000001</v>
      </c>
      <c r="AF115" s="10">
        <v>8.9470421029999994</v>
      </c>
      <c r="AG115" s="10">
        <v>0</v>
      </c>
      <c r="AH115" s="10">
        <v>11.19423887</v>
      </c>
    </row>
    <row r="116" spans="1:34" x14ac:dyDescent="0.3">
      <c r="A116" t="s">
        <v>145</v>
      </c>
      <c r="B116">
        <v>6000</v>
      </c>
      <c r="C116">
        <v>39.799999999999997</v>
      </c>
      <c r="D116">
        <v>20.96</v>
      </c>
      <c r="E116">
        <v>20</v>
      </c>
      <c r="F116">
        <v>8.85</v>
      </c>
      <c r="G116">
        <v>7</v>
      </c>
      <c r="H116">
        <v>0.6</v>
      </c>
      <c r="I116">
        <v>44.7</v>
      </c>
      <c r="J116">
        <v>36.299999999999997</v>
      </c>
      <c r="K116">
        <v>10.64</v>
      </c>
      <c r="L116" s="19">
        <f t="shared" si="4"/>
        <v>7.4841196379037624</v>
      </c>
      <c r="M116">
        <v>18.72</v>
      </c>
      <c r="N116" s="19">
        <f t="shared" si="5"/>
        <v>11.08248670712139</v>
      </c>
      <c r="O116">
        <v>-1.4</v>
      </c>
      <c r="P116">
        <v>2.2000000000000002</v>
      </c>
      <c r="Q116">
        <v>1.1499999999999999</v>
      </c>
      <c r="R116">
        <v>0.7</v>
      </c>
      <c r="S116">
        <v>0.02</v>
      </c>
      <c r="T116">
        <v>0.02</v>
      </c>
      <c r="U116">
        <v>0.5</v>
      </c>
      <c r="V116">
        <v>0.5</v>
      </c>
      <c r="W116">
        <v>25</v>
      </c>
      <c r="X116">
        <v>250</v>
      </c>
      <c r="Y116" s="10">
        <v>5.0463777270000003</v>
      </c>
      <c r="Z116" s="10">
        <v>0</v>
      </c>
      <c r="AA116" s="10">
        <v>1.461004803</v>
      </c>
      <c r="AB116" s="10">
        <v>4.9086890900000002</v>
      </c>
      <c r="AC116" s="10">
        <v>1.085432803</v>
      </c>
      <c r="AD116" s="10">
        <v>6.230107866</v>
      </c>
      <c r="AE116" s="10">
        <v>1.0069739129999999</v>
      </c>
      <c r="AF116" s="10">
        <v>7.6688932310000002</v>
      </c>
      <c r="AG116" s="10">
        <v>0</v>
      </c>
      <c r="AH116" s="10">
        <v>9.5950618900000002</v>
      </c>
    </row>
    <row r="117" spans="1:34" x14ac:dyDescent="0.3">
      <c r="A117" t="s">
        <v>145</v>
      </c>
      <c r="B117">
        <v>5000</v>
      </c>
      <c r="C117">
        <v>39.799999999999997</v>
      </c>
      <c r="D117">
        <v>20.96</v>
      </c>
      <c r="E117">
        <v>20</v>
      </c>
      <c r="F117">
        <v>8.85</v>
      </c>
      <c r="G117">
        <v>7</v>
      </c>
      <c r="H117">
        <v>0.6</v>
      </c>
      <c r="I117">
        <v>44.7</v>
      </c>
      <c r="J117">
        <v>36.299999999999997</v>
      </c>
      <c r="K117">
        <v>10.64</v>
      </c>
      <c r="L117" s="19">
        <f t="shared" si="4"/>
        <v>7.4841196379037624</v>
      </c>
      <c r="M117">
        <v>18.72</v>
      </c>
      <c r="N117" s="19">
        <f t="shared" si="5"/>
        <v>11.08248670712139</v>
      </c>
      <c r="O117">
        <v>-1.4</v>
      </c>
      <c r="P117">
        <v>2.2000000000000002</v>
      </c>
      <c r="Q117">
        <v>1.1499999999999999</v>
      </c>
      <c r="R117">
        <v>0.7</v>
      </c>
      <c r="S117">
        <v>0.02</v>
      </c>
      <c r="T117">
        <v>0.02</v>
      </c>
      <c r="U117">
        <v>0.5</v>
      </c>
      <c r="V117">
        <v>0.5</v>
      </c>
      <c r="W117">
        <v>25</v>
      </c>
      <c r="X117">
        <v>250</v>
      </c>
      <c r="Y117" s="10">
        <v>3.5044289769999999</v>
      </c>
      <c r="Z117" s="10">
        <v>0</v>
      </c>
      <c r="AA117" s="10">
        <v>1.0145866690000001</v>
      </c>
      <c r="AB117" s="10">
        <v>4.0905742409999997</v>
      </c>
      <c r="AC117" s="10">
        <v>0.75377278000000003</v>
      </c>
      <c r="AD117" s="10">
        <v>5.1917565550000004</v>
      </c>
      <c r="AE117" s="10">
        <v>0.69928743999999998</v>
      </c>
      <c r="AF117" s="10">
        <v>6.3907443590000002</v>
      </c>
      <c r="AG117" s="10">
        <v>0</v>
      </c>
      <c r="AH117" s="10">
        <v>7.9958849079999998</v>
      </c>
    </row>
    <row r="118" spans="1:34" x14ac:dyDescent="0.3">
      <c r="A118" t="s">
        <v>145</v>
      </c>
      <c r="B118">
        <v>4000</v>
      </c>
      <c r="C118">
        <v>39.799999999999997</v>
      </c>
      <c r="D118">
        <v>20.96</v>
      </c>
      <c r="E118">
        <v>20</v>
      </c>
      <c r="F118">
        <v>8.85</v>
      </c>
      <c r="G118">
        <v>7</v>
      </c>
      <c r="H118">
        <v>0.6</v>
      </c>
      <c r="I118">
        <v>44.7</v>
      </c>
      <c r="J118">
        <v>36.299999999999997</v>
      </c>
      <c r="K118">
        <v>10.64</v>
      </c>
      <c r="L118" s="19">
        <f t="shared" si="4"/>
        <v>7.4841196379037624</v>
      </c>
      <c r="M118">
        <v>18.72</v>
      </c>
      <c r="N118" s="19">
        <f t="shared" si="5"/>
        <v>11.08248670712139</v>
      </c>
      <c r="O118">
        <v>-1.4</v>
      </c>
      <c r="P118">
        <v>2.2000000000000002</v>
      </c>
      <c r="Q118">
        <v>1.1499999999999999</v>
      </c>
      <c r="R118">
        <v>0.7</v>
      </c>
      <c r="S118">
        <v>0.02</v>
      </c>
      <c r="T118">
        <v>0.02</v>
      </c>
      <c r="U118">
        <v>0.5</v>
      </c>
      <c r="V118">
        <v>0.5</v>
      </c>
      <c r="W118">
        <v>25</v>
      </c>
      <c r="X118">
        <v>250</v>
      </c>
      <c r="Y118" s="10">
        <v>2.242834545</v>
      </c>
      <c r="Z118" s="10">
        <v>0</v>
      </c>
      <c r="AA118" s="10">
        <v>0.64933546799999997</v>
      </c>
      <c r="AB118" s="10">
        <v>3.2724593930000001</v>
      </c>
      <c r="AC118" s="10">
        <v>0.48241457900000001</v>
      </c>
      <c r="AD118" s="10">
        <v>4.153405244</v>
      </c>
      <c r="AE118" s="10">
        <v>0.44754396099999999</v>
      </c>
      <c r="AF118" s="10">
        <v>5.1125954880000002</v>
      </c>
      <c r="AG118" s="10">
        <v>0</v>
      </c>
      <c r="AH118" s="10">
        <v>6.3967079269999996</v>
      </c>
    </row>
    <row r="119" spans="1:34" x14ac:dyDescent="0.3">
      <c r="A119" t="s">
        <v>146</v>
      </c>
      <c r="B119">
        <v>7500</v>
      </c>
      <c r="C119">
        <v>39.799999999999997</v>
      </c>
      <c r="D119">
        <v>19.600000000000001</v>
      </c>
      <c r="E119">
        <v>20</v>
      </c>
      <c r="F119">
        <v>11.15</v>
      </c>
      <c r="G119">
        <v>7</v>
      </c>
      <c r="H119">
        <v>0.6</v>
      </c>
      <c r="I119">
        <v>48.3</v>
      </c>
      <c r="J119">
        <v>45.25</v>
      </c>
      <c r="K119">
        <v>14.5</v>
      </c>
      <c r="L119" s="19">
        <f t="shared" si="4"/>
        <v>10.826253643138175</v>
      </c>
      <c r="M119">
        <v>13.37</v>
      </c>
      <c r="N119" s="19">
        <f t="shared" si="5"/>
        <v>9.4951784720833246</v>
      </c>
      <c r="O119">
        <v>-0.85</v>
      </c>
      <c r="P119">
        <v>2.5</v>
      </c>
      <c r="Q119">
        <v>1</v>
      </c>
      <c r="R119">
        <v>0.5</v>
      </c>
      <c r="S119">
        <v>1.0999999999999999E-2</v>
      </c>
      <c r="T119">
        <v>1.0999999999999999E-2</v>
      </c>
      <c r="U119">
        <v>0.4</v>
      </c>
      <c r="V119">
        <v>0.4</v>
      </c>
      <c r="W119">
        <v>-15</v>
      </c>
      <c r="X119">
        <v>50</v>
      </c>
      <c r="Y119" s="10">
        <v>13.321906589999999</v>
      </c>
      <c r="Z119" s="10">
        <v>0</v>
      </c>
      <c r="AA119" s="10">
        <v>3.275806137</v>
      </c>
      <c r="AB119" s="10">
        <v>7.0100385369999998</v>
      </c>
      <c r="AC119" s="10">
        <v>3.42</v>
      </c>
      <c r="AD119" s="10">
        <v>9.25</v>
      </c>
      <c r="AE119" s="10">
        <v>3.1110224</v>
      </c>
      <c r="AF119" s="10">
        <v>11.05237936</v>
      </c>
      <c r="AG119" s="10">
        <v>0</v>
      </c>
      <c r="AH119" s="10">
        <v>14.491107080000001</v>
      </c>
    </row>
    <row r="120" spans="1:34" x14ac:dyDescent="0.3">
      <c r="A120" t="s">
        <v>147</v>
      </c>
      <c r="B120">
        <v>7000</v>
      </c>
      <c r="C120">
        <v>39.799999999999997</v>
      </c>
      <c r="D120">
        <v>19.600000000000001</v>
      </c>
      <c r="E120">
        <v>20</v>
      </c>
      <c r="F120">
        <v>11.15</v>
      </c>
      <c r="G120">
        <v>7</v>
      </c>
      <c r="H120">
        <v>0.6</v>
      </c>
      <c r="I120">
        <v>48.3</v>
      </c>
      <c r="J120">
        <v>45.25</v>
      </c>
      <c r="K120">
        <v>14.5</v>
      </c>
      <c r="L120" s="19">
        <f t="shared" si="4"/>
        <v>10.826253643138175</v>
      </c>
      <c r="M120">
        <v>13.37</v>
      </c>
      <c r="N120" s="19">
        <f t="shared" si="5"/>
        <v>9.4951784720833246</v>
      </c>
      <c r="O120">
        <v>-0.85</v>
      </c>
      <c r="P120">
        <v>2.5</v>
      </c>
      <c r="Q120">
        <v>1</v>
      </c>
      <c r="R120">
        <v>0.5</v>
      </c>
      <c r="S120">
        <v>1.0999999999999999E-2</v>
      </c>
      <c r="T120">
        <v>1.0999999999999999E-2</v>
      </c>
      <c r="U120">
        <v>0.4</v>
      </c>
      <c r="V120">
        <v>0.4</v>
      </c>
      <c r="W120">
        <v>-15</v>
      </c>
      <c r="X120">
        <v>50</v>
      </c>
      <c r="Y120" s="10">
        <v>11.60486085</v>
      </c>
      <c r="Z120" s="10">
        <v>0</v>
      </c>
      <c r="AA120" s="10">
        <v>2.8535911239999998</v>
      </c>
      <c r="AB120" s="10">
        <v>6.5427026350000004</v>
      </c>
      <c r="AC120" s="10">
        <v>2.9792000000000001</v>
      </c>
      <c r="AD120" s="10">
        <v>8.6333333329999995</v>
      </c>
      <c r="AE120" s="10">
        <v>2.71004618</v>
      </c>
      <c r="AF120" s="10">
        <v>10.315554069999999</v>
      </c>
      <c r="AG120" s="10">
        <v>0</v>
      </c>
      <c r="AH120" s="10">
        <v>13.52503327</v>
      </c>
    </row>
    <row r="121" spans="1:34" x14ac:dyDescent="0.3">
      <c r="A121" t="s">
        <v>146</v>
      </c>
      <c r="B121">
        <v>6000</v>
      </c>
      <c r="C121">
        <v>39.799999999999997</v>
      </c>
      <c r="D121">
        <v>19.600000000000001</v>
      </c>
      <c r="E121">
        <v>20</v>
      </c>
      <c r="F121">
        <v>11.15</v>
      </c>
      <c r="G121">
        <v>7</v>
      </c>
      <c r="H121">
        <v>0.6</v>
      </c>
      <c r="I121">
        <v>48.3</v>
      </c>
      <c r="J121">
        <v>45.25</v>
      </c>
      <c r="K121">
        <v>14.5</v>
      </c>
      <c r="L121" s="19">
        <f t="shared" si="4"/>
        <v>10.826253643138175</v>
      </c>
      <c r="M121">
        <v>13.37</v>
      </c>
      <c r="N121" s="19">
        <f t="shared" si="5"/>
        <v>9.4951784720833246</v>
      </c>
      <c r="O121">
        <v>-0.85</v>
      </c>
      <c r="P121">
        <v>2.5</v>
      </c>
      <c r="Q121">
        <v>1</v>
      </c>
      <c r="R121">
        <v>0.5</v>
      </c>
      <c r="S121">
        <v>1.0999999999999999E-2</v>
      </c>
      <c r="T121">
        <v>1.0999999999999999E-2</v>
      </c>
      <c r="U121">
        <v>0.4</v>
      </c>
      <c r="V121">
        <v>0.4</v>
      </c>
      <c r="W121">
        <v>-15</v>
      </c>
      <c r="X121">
        <v>50</v>
      </c>
      <c r="Y121" s="10">
        <v>8.5260202169999992</v>
      </c>
      <c r="Z121" s="10">
        <v>0</v>
      </c>
      <c r="AA121" s="10">
        <v>2.0965159280000001</v>
      </c>
      <c r="AB121" s="10">
        <v>5.6080308299999997</v>
      </c>
      <c r="AC121" s="10">
        <v>2.1888000000000001</v>
      </c>
      <c r="AD121" s="10">
        <v>7.4</v>
      </c>
      <c r="AE121" s="10">
        <v>1.9910543359999999</v>
      </c>
      <c r="AF121" s="10">
        <v>8.8419034859999996</v>
      </c>
      <c r="AG121" s="10">
        <v>0</v>
      </c>
      <c r="AH121" s="10">
        <v>11.59288566</v>
      </c>
    </row>
    <row r="122" spans="1:34" x14ac:dyDescent="0.3">
      <c r="A122" t="s">
        <v>146</v>
      </c>
      <c r="B122">
        <v>5000</v>
      </c>
      <c r="C122">
        <v>39.799999999999997</v>
      </c>
      <c r="D122">
        <v>19.600000000000001</v>
      </c>
      <c r="E122">
        <v>20</v>
      </c>
      <c r="F122">
        <v>11.15</v>
      </c>
      <c r="G122">
        <v>7</v>
      </c>
      <c r="H122">
        <v>0.6</v>
      </c>
      <c r="I122">
        <v>48.3</v>
      </c>
      <c r="J122">
        <v>45.25</v>
      </c>
      <c r="K122">
        <v>14.5</v>
      </c>
      <c r="L122" s="19">
        <f t="shared" si="4"/>
        <v>10.826253643138175</v>
      </c>
      <c r="M122">
        <v>13.37</v>
      </c>
      <c r="N122" s="19">
        <f t="shared" si="5"/>
        <v>9.4951784720833246</v>
      </c>
      <c r="O122">
        <v>-0.85</v>
      </c>
      <c r="P122">
        <v>2.5</v>
      </c>
      <c r="Q122">
        <v>1</v>
      </c>
      <c r="R122">
        <v>0.5</v>
      </c>
      <c r="S122">
        <v>1.0999999999999999E-2</v>
      </c>
      <c r="T122">
        <v>1.0999999999999999E-2</v>
      </c>
      <c r="U122">
        <v>0.4</v>
      </c>
      <c r="V122">
        <v>0.4</v>
      </c>
      <c r="W122">
        <v>-15</v>
      </c>
      <c r="X122">
        <v>50</v>
      </c>
      <c r="Y122" s="10">
        <v>5.920847373</v>
      </c>
      <c r="Z122" s="10">
        <v>0</v>
      </c>
      <c r="AA122" s="10">
        <v>1.4559138389999999</v>
      </c>
      <c r="AB122" s="10">
        <v>4.6733590249999999</v>
      </c>
      <c r="AC122" s="10">
        <v>1.52</v>
      </c>
      <c r="AD122" s="10">
        <v>6.1666666670000003</v>
      </c>
      <c r="AE122" s="10">
        <v>1.382676622</v>
      </c>
      <c r="AF122" s="10">
        <v>7.3682529050000003</v>
      </c>
      <c r="AG122" s="10">
        <v>0</v>
      </c>
      <c r="AH122" s="10">
        <v>9.6607380529999993</v>
      </c>
    </row>
    <row r="123" spans="1:34" x14ac:dyDescent="0.3">
      <c r="A123" t="s">
        <v>147</v>
      </c>
      <c r="B123">
        <v>4000</v>
      </c>
      <c r="C123">
        <v>39.799999999999997</v>
      </c>
      <c r="D123">
        <v>19.600000000000001</v>
      </c>
      <c r="E123">
        <v>20</v>
      </c>
      <c r="F123">
        <v>11.15</v>
      </c>
      <c r="G123">
        <v>7</v>
      </c>
      <c r="H123">
        <v>0.6</v>
      </c>
      <c r="I123">
        <v>48.3</v>
      </c>
      <c r="J123">
        <v>45.25</v>
      </c>
      <c r="K123">
        <v>14.5</v>
      </c>
      <c r="L123" s="19">
        <f t="shared" si="4"/>
        <v>10.826253643138175</v>
      </c>
      <c r="M123">
        <v>13.37</v>
      </c>
      <c r="N123" s="19">
        <f t="shared" si="5"/>
        <v>9.4951784720833246</v>
      </c>
      <c r="O123">
        <v>-0.85</v>
      </c>
      <c r="P123">
        <v>2.5</v>
      </c>
      <c r="Q123">
        <v>1</v>
      </c>
      <c r="R123">
        <v>0.5</v>
      </c>
      <c r="S123">
        <v>1.0999999999999999E-2</v>
      </c>
      <c r="T123">
        <v>1.0999999999999999E-2</v>
      </c>
      <c r="U123">
        <v>0.4</v>
      </c>
      <c r="V123">
        <v>0.4</v>
      </c>
      <c r="W123">
        <v>-15</v>
      </c>
      <c r="X123">
        <v>50</v>
      </c>
      <c r="Y123" s="10">
        <v>3.7893423190000002</v>
      </c>
      <c r="Z123" s="10">
        <v>0</v>
      </c>
      <c r="AA123" s="10">
        <v>0.93178485700000002</v>
      </c>
      <c r="AB123" s="10">
        <v>3.7386872200000001</v>
      </c>
      <c r="AC123" s="10">
        <v>0.9728</v>
      </c>
      <c r="AD123" s="10">
        <v>4.9333333330000002</v>
      </c>
      <c r="AE123" s="10">
        <v>0.88491303799999999</v>
      </c>
      <c r="AF123" s="10">
        <v>5.8946023240000001</v>
      </c>
      <c r="AG123" s="10">
        <v>0</v>
      </c>
      <c r="AH123" s="10">
        <v>7.7285904419999998</v>
      </c>
    </row>
    <row r="124" spans="1:34" x14ac:dyDescent="0.3">
      <c r="A124" t="s">
        <v>148</v>
      </c>
      <c r="B124">
        <v>7000</v>
      </c>
      <c r="C124">
        <v>42.4</v>
      </c>
      <c r="D124">
        <v>20.32</v>
      </c>
      <c r="E124">
        <v>15</v>
      </c>
      <c r="F124">
        <v>8.8000000000000007</v>
      </c>
      <c r="G124">
        <v>5</v>
      </c>
      <c r="H124">
        <v>0.5</v>
      </c>
      <c r="I124">
        <v>42.3</v>
      </c>
      <c r="J124">
        <v>35</v>
      </c>
      <c r="K124">
        <v>10.91</v>
      </c>
      <c r="L124" s="19">
        <f t="shared" si="4"/>
        <v>7.3425665223916265</v>
      </c>
      <c r="M124">
        <v>15.68</v>
      </c>
      <c r="N124" s="19">
        <f t="shared" si="5"/>
        <v>8.9936785219844015</v>
      </c>
      <c r="O124">
        <v>-3.14</v>
      </c>
      <c r="P124">
        <v>-0.5</v>
      </c>
      <c r="Q124">
        <v>1</v>
      </c>
      <c r="R124">
        <v>0.45</v>
      </c>
      <c r="S124">
        <v>0.04</v>
      </c>
      <c r="T124">
        <v>3.4000000000000002E-2</v>
      </c>
      <c r="U124">
        <v>0.61</v>
      </c>
      <c r="V124">
        <v>0.41</v>
      </c>
      <c r="W124">
        <v>36</v>
      </c>
      <c r="X124">
        <v>5</v>
      </c>
      <c r="Y124" s="10">
        <v>8.190713336</v>
      </c>
      <c r="Z124" s="10">
        <v>0</v>
      </c>
      <c r="AA124" s="10">
        <v>2.49634358</v>
      </c>
      <c r="AB124" s="10">
        <v>7.401758718</v>
      </c>
      <c r="AC124" s="10">
        <v>2.8687292430000002</v>
      </c>
      <c r="AD124" s="10">
        <v>10.51886506</v>
      </c>
      <c r="AE124" s="10">
        <v>2.1729009000000001</v>
      </c>
      <c r="AF124" s="10">
        <v>12.16452089</v>
      </c>
      <c r="AG124" s="10">
        <v>0</v>
      </c>
      <c r="AH124" s="10">
        <v>15.071984260000001</v>
      </c>
    </row>
    <row r="125" spans="1:34" x14ac:dyDescent="0.3">
      <c r="A125" t="s">
        <v>148</v>
      </c>
      <c r="B125">
        <v>6000</v>
      </c>
      <c r="C125">
        <v>42.4</v>
      </c>
      <c r="D125">
        <v>20.32</v>
      </c>
      <c r="E125">
        <v>15</v>
      </c>
      <c r="F125">
        <v>8.8000000000000007</v>
      </c>
      <c r="G125">
        <v>5</v>
      </c>
      <c r="H125">
        <v>0.5</v>
      </c>
      <c r="I125">
        <v>42.3</v>
      </c>
      <c r="J125">
        <v>35</v>
      </c>
      <c r="K125">
        <v>10.91</v>
      </c>
      <c r="L125" s="19">
        <f t="shared" si="4"/>
        <v>7.3425665223916265</v>
      </c>
      <c r="M125">
        <v>15.68</v>
      </c>
      <c r="N125" s="19">
        <f t="shared" si="5"/>
        <v>8.9936785219844015</v>
      </c>
      <c r="O125">
        <v>-3.14</v>
      </c>
      <c r="P125">
        <v>-0.5</v>
      </c>
      <c r="Q125">
        <v>1</v>
      </c>
      <c r="R125">
        <v>0.45</v>
      </c>
      <c r="S125">
        <v>0.04</v>
      </c>
      <c r="T125">
        <v>3.4000000000000002E-2</v>
      </c>
      <c r="U125">
        <v>0.61</v>
      </c>
      <c r="V125">
        <v>0.41</v>
      </c>
      <c r="W125">
        <v>36</v>
      </c>
      <c r="X125">
        <v>5</v>
      </c>
      <c r="Y125" s="10">
        <v>6.0176669399999998</v>
      </c>
      <c r="Z125" s="10">
        <v>0</v>
      </c>
      <c r="AA125" s="10">
        <v>1.834048345</v>
      </c>
      <c r="AB125" s="10">
        <v>6.3443646149999999</v>
      </c>
      <c r="AC125" s="10">
        <v>2.107637811</v>
      </c>
      <c r="AD125" s="10">
        <v>9.0161700509999996</v>
      </c>
      <c r="AE125" s="10">
        <v>1.5964169880000001</v>
      </c>
      <c r="AF125" s="10">
        <v>10.426732189999999</v>
      </c>
      <c r="AG125" s="10">
        <v>0</v>
      </c>
      <c r="AH125" s="10">
        <v>12.918843649999999</v>
      </c>
    </row>
    <row r="126" spans="1:34" x14ac:dyDescent="0.3">
      <c r="A126" t="s">
        <v>148</v>
      </c>
      <c r="B126">
        <v>5000</v>
      </c>
      <c r="C126">
        <v>42.4</v>
      </c>
      <c r="D126">
        <v>20.32</v>
      </c>
      <c r="E126">
        <v>15</v>
      </c>
      <c r="F126">
        <v>8.8000000000000007</v>
      </c>
      <c r="G126">
        <v>5</v>
      </c>
      <c r="H126">
        <v>0.5</v>
      </c>
      <c r="I126">
        <v>42.3</v>
      </c>
      <c r="J126">
        <v>35</v>
      </c>
      <c r="K126">
        <v>10.91</v>
      </c>
      <c r="L126" s="19">
        <f t="shared" si="4"/>
        <v>7.3425665223916265</v>
      </c>
      <c r="M126">
        <v>15.68</v>
      </c>
      <c r="N126" s="19">
        <f t="shared" si="5"/>
        <v>8.9936785219844015</v>
      </c>
      <c r="O126">
        <v>-3.14</v>
      </c>
      <c r="P126">
        <v>-0.5</v>
      </c>
      <c r="Q126">
        <v>1</v>
      </c>
      <c r="R126">
        <v>0.45</v>
      </c>
      <c r="S126">
        <v>0.04</v>
      </c>
      <c r="T126">
        <v>3.4000000000000002E-2</v>
      </c>
      <c r="U126">
        <v>0.61</v>
      </c>
      <c r="V126">
        <v>0.41</v>
      </c>
      <c r="W126">
        <v>36</v>
      </c>
      <c r="X126">
        <v>5</v>
      </c>
      <c r="Y126" s="10">
        <v>4.178935375</v>
      </c>
      <c r="Z126" s="10">
        <v>0</v>
      </c>
      <c r="AA126" s="10">
        <v>1.273644684</v>
      </c>
      <c r="AB126" s="10">
        <v>5.286970513</v>
      </c>
      <c r="AC126" s="10">
        <v>1.463637369</v>
      </c>
      <c r="AD126" s="10">
        <v>7.5134750419999996</v>
      </c>
      <c r="AE126" s="10">
        <v>1.1086229080000001</v>
      </c>
      <c r="AF126" s="10">
        <v>8.6889434960000003</v>
      </c>
      <c r="AG126" s="10">
        <v>0</v>
      </c>
      <c r="AH126" s="10">
        <v>10.76570304</v>
      </c>
    </row>
    <row r="127" spans="1:34" x14ac:dyDescent="0.3">
      <c r="A127" t="s">
        <v>148</v>
      </c>
      <c r="B127">
        <v>4000</v>
      </c>
      <c r="C127">
        <v>42.4</v>
      </c>
      <c r="D127">
        <v>20.32</v>
      </c>
      <c r="E127">
        <v>15</v>
      </c>
      <c r="F127">
        <v>8.8000000000000007</v>
      </c>
      <c r="G127">
        <v>5</v>
      </c>
      <c r="H127">
        <v>0.5</v>
      </c>
      <c r="I127">
        <v>42.3</v>
      </c>
      <c r="J127">
        <v>35</v>
      </c>
      <c r="K127">
        <v>10.91</v>
      </c>
      <c r="L127" s="19">
        <f t="shared" si="4"/>
        <v>7.3425665223916265</v>
      </c>
      <c r="M127">
        <v>15.68</v>
      </c>
      <c r="N127" s="19">
        <f t="shared" si="5"/>
        <v>8.9936785219844015</v>
      </c>
      <c r="O127">
        <v>-3.14</v>
      </c>
      <c r="P127">
        <v>-0.5</v>
      </c>
      <c r="Q127">
        <v>1</v>
      </c>
      <c r="R127">
        <v>0.45</v>
      </c>
      <c r="S127">
        <v>0.04</v>
      </c>
      <c r="T127">
        <v>3.4000000000000002E-2</v>
      </c>
      <c r="U127">
        <v>0.61</v>
      </c>
      <c r="V127">
        <v>0.41</v>
      </c>
      <c r="W127">
        <v>36</v>
      </c>
      <c r="X127">
        <v>5</v>
      </c>
      <c r="Y127" s="10">
        <v>2.6745186400000001</v>
      </c>
      <c r="Z127" s="10">
        <v>0</v>
      </c>
      <c r="AA127" s="10">
        <v>0.81513259800000004</v>
      </c>
      <c r="AB127" s="10">
        <v>4.22957641</v>
      </c>
      <c r="AC127" s="10">
        <v>0.93672791600000005</v>
      </c>
      <c r="AD127" s="10">
        <v>6.0107800339999997</v>
      </c>
      <c r="AE127" s="10">
        <v>0.70951866100000005</v>
      </c>
      <c r="AF127" s="10">
        <v>6.951154796</v>
      </c>
      <c r="AG127" s="10">
        <v>0</v>
      </c>
      <c r="AH127" s="10">
        <v>8.6125624359999993</v>
      </c>
    </row>
    <row r="128" spans="1:34" x14ac:dyDescent="0.3">
      <c r="A128" t="s">
        <v>149</v>
      </c>
      <c r="B128">
        <v>7000</v>
      </c>
      <c r="C128">
        <v>47</v>
      </c>
      <c r="D128">
        <v>20.5</v>
      </c>
      <c r="E128">
        <v>15</v>
      </c>
      <c r="F128">
        <v>10.15</v>
      </c>
      <c r="G128">
        <v>5</v>
      </c>
      <c r="H128">
        <v>0.5</v>
      </c>
      <c r="I128">
        <v>30.07</v>
      </c>
      <c r="J128">
        <v>20.23</v>
      </c>
      <c r="K128">
        <v>16.45</v>
      </c>
      <c r="L128" s="19">
        <f t="shared" si="4"/>
        <v>8.2423987736484428</v>
      </c>
      <c r="M128">
        <v>29.06</v>
      </c>
      <c r="N128" s="19">
        <f t="shared" si="5"/>
        <v>10.048644190514768</v>
      </c>
      <c r="O128">
        <v>-1.5</v>
      </c>
      <c r="P128">
        <v>0.3</v>
      </c>
      <c r="Q128">
        <v>0.9</v>
      </c>
      <c r="R128">
        <v>0.4</v>
      </c>
      <c r="S128">
        <v>0.02</v>
      </c>
      <c r="T128">
        <v>4.2999999999999997E-2</v>
      </c>
      <c r="U128">
        <v>0.38</v>
      </c>
      <c r="V128">
        <v>0.69</v>
      </c>
      <c r="W128">
        <v>56</v>
      </c>
      <c r="X128">
        <v>11</v>
      </c>
      <c r="Y128" s="10">
        <v>11.5</v>
      </c>
      <c r="Z128" s="10">
        <v>0</v>
      </c>
      <c r="AA128" s="10">
        <v>4.157</v>
      </c>
      <c r="AB128" s="10">
        <v>7.98</v>
      </c>
      <c r="AC128" s="10">
        <v>3.92</v>
      </c>
      <c r="AD128" s="10">
        <v>9.9499999999999993</v>
      </c>
      <c r="AE128" s="10">
        <v>2.9129999999999998</v>
      </c>
      <c r="AF128" s="10">
        <v>11.99</v>
      </c>
      <c r="AG128" s="10">
        <v>0</v>
      </c>
      <c r="AH128" s="10">
        <v>15.3</v>
      </c>
    </row>
    <row r="129" spans="1:34" x14ac:dyDescent="0.3">
      <c r="A129" t="s">
        <v>149</v>
      </c>
      <c r="B129">
        <v>6000</v>
      </c>
      <c r="C129">
        <v>47</v>
      </c>
      <c r="D129">
        <v>20.5</v>
      </c>
      <c r="E129">
        <v>15</v>
      </c>
      <c r="F129">
        <v>10.15</v>
      </c>
      <c r="G129">
        <v>5</v>
      </c>
      <c r="H129">
        <v>0.5</v>
      </c>
      <c r="I129">
        <v>30.07</v>
      </c>
      <c r="J129">
        <v>20.23</v>
      </c>
      <c r="K129">
        <v>16.45</v>
      </c>
      <c r="L129" s="19">
        <f t="shared" si="4"/>
        <v>8.2423987736484428</v>
      </c>
      <c r="M129">
        <v>29.06</v>
      </c>
      <c r="N129" s="19">
        <f t="shared" si="5"/>
        <v>10.048644190514768</v>
      </c>
      <c r="O129">
        <v>-1.5</v>
      </c>
      <c r="P129">
        <v>0.3</v>
      </c>
      <c r="Q129">
        <v>0.9</v>
      </c>
      <c r="R129">
        <v>0.4</v>
      </c>
      <c r="S129">
        <v>0.02</v>
      </c>
      <c r="T129">
        <v>4.2999999999999997E-2</v>
      </c>
      <c r="U129">
        <v>0.38</v>
      </c>
      <c r="V129">
        <v>0.69</v>
      </c>
      <c r="W129">
        <v>56</v>
      </c>
      <c r="X129">
        <v>11</v>
      </c>
      <c r="Y129" s="10">
        <v>8.4489795920000006</v>
      </c>
      <c r="Z129" s="10">
        <v>0</v>
      </c>
      <c r="AA129" s="10">
        <v>3.0541224489999999</v>
      </c>
      <c r="AB129" s="10">
        <v>6.84</v>
      </c>
      <c r="AC129" s="10">
        <v>2.88</v>
      </c>
      <c r="AD129" s="10">
        <v>8.5285714289999994</v>
      </c>
      <c r="AE129" s="10">
        <v>2.140163265</v>
      </c>
      <c r="AF129" s="10">
        <v>10.27714286</v>
      </c>
      <c r="AG129" s="10">
        <v>0</v>
      </c>
      <c r="AH129" s="10">
        <v>13.114285710000001</v>
      </c>
    </row>
    <row r="130" spans="1:34" x14ac:dyDescent="0.3">
      <c r="A130" t="s">
        <v>149</v>
      </c>
      <c r="B130">
        <v>5000</v>
      </c>
      <c r="C130">
        <v>47</v>
      </c>
      <c r="D130">
        <v>20.5</v>
      </c>
      <c r="E130">
        <v>15</v>
      </c>
      <c r="F130">
        <v>10.15</v>
      </c>
      <c r="G130">
        <v>5</v>
      </c>
      <c r="H130">
        <v>0.5</v>
      </c>
      <c r="I130">
        <v>30.07</v>
      </c>
      <c r="J130">
        <v>20.23</v>
      </c>
      <c r="K130">
        <v>16.45</v>
      </c>
      <c r="L130" s="19">
        <f t="shared" si="4"/>
        <v>8.2423987736484428</v>
      </c>
      <c r="M130">
        <v>29.06</v>
      </c>
      <c r="N130" s="19">
        <f t="shared" si="5"/>
        <v>10.048644190514768</v>
      </c>
      <c r="O130">
        <v>-1.5</v>
      </c>
      <c r="P130">
        <v>0.3</v>
      </c>
      <c r="Q130">
        <v>0.9</v>
      </c>
      <c r="R130">
        <v>0.4</v>
      </c>
      <c r="S130">
        <v>0.02</v>
      </c>
      <c r="T130">
        <v>4.2999999999999997E-2</v>
      </c>
      <c r="U130">
        <v>0.38</v>
      </c>
      <c r="V130">
        <v>0.69</v>
      </c>
      <c r="W130">
        <v>56</v>
      </c>
      <c r="X130">
        <v>11</v>
      </c>
      <c r="Y130" s="10">
        <v>5.8673469389999999</v>
      </c>
      <c r="Z130" s="10">
        <v>0</v>
      </c>
      <c r="AA130" s="10">
        <v>2.1209183669999998</v>
      </c>
      <c r="AB130" s="10">
        <v>5.7</v>
      </c>
      <c r="AC130" s="10">
        <v>2</v>
      </c>
      <c r="AD130" s="10">
        <v>7.1071428570000004</v>
      </c>
      <c r="AE130" s="10">
        <v>1.4862244899999999</v>
      </c>
      <c r="AF130" s="10">
        <v>8.5642857140000004</v>
      </c>
      <c r="AG130" s="10">
        <v>0</v>
      </c>
      <c r="AH130" s="10">
        <v>10.92857143</v>
      </c>
    </row>
    <row r="131" spans="1:34" x14ac:dyDescent="0.3">
      <c r="A131" t="s">
        <v>149</v>
      </c>
      <c r="B131">
        <v>4000</v>
      </c>
      <c r="C131">
        <v>47</v>
      </c>
      <c r="D131">
        <v>20.5</v>
      </c>
      <c r="E131">
        <v>15</v>
      </c>
      <c r="F131">
        <v>10.15</v>
      </c>
      <c r="G131">
        <v>5</v>
      </c>
      <c r="H131">
        <v>0.5</v>
      </c>
      <c r="I131">
        <v>30.07</v>
      </c>
      <c r="J131">
        <v>20.23</v>
      </c>
      <c r="K131">
        <v>16.45</v>
      </c>
      <c r="L131" s="19">
        <f t="shared" si="4"/>
        <v>8.2423987736484428</v>
      </c>
      <c r="M131">
        <v>29.06</v>
      </c>
      <c r="N131" s="19">
        <f t="shared" si="5"/>
        <v>10.048644190514768</v>
      </c>
      <c r="O131">
        <v>-1.5</v>
      </c>
      <c r="P131">
        <v>0.3</v>
      </c>
      <c r="Q131">
        <v>0.9</v>
      </c>
      <c r="R131">
        <v>0.4</v>
      </c>
      <c r="S131">
        <v>0.02</v>
      </c>
      <c r="T131">
        <v>4.2999999999999997E-2</v>
      </c>
      <c r="U131">
        <v>0.38</v>
      </c>
      <c r="V131">
        <v>0.69</v>
      </c>
      <c r="W131">
        <v>56</v>
      </c>
      <c r="X131">
        <v>11</v>
      </c>
      <c r="Y131" s="10">
        <v>3.7551020409999998</v>
      </c>
      <c r="Z131" s="10">
        <v>0</v>
      </c>
      <c r="AA131" s="10">
        <v>1.357387755</v>
      </c>
      <c r="AB131" s="10">
        <v>4.5599999999999996</v>
      </c>
      <c r="AC131" s="10">
        <v>1.28</v>
      </c>
      <c r="AD131" s="10">
        <v>5.6857142859999996</v>
      </c>
      <c r="AE131" s="10">
        <v>0.95118367299999995</v>
      </c>
      <c r="AF131" s="10">
        <v>6.8514285709999996</v>
      </c>
      <c r="AG131" s="10">
        <v>0</v>
      </c>
      <c r="AH131" s="10">
        <v>8.7428571430000002</v>
      </c>
    </row>
    <row r="132" spans="1:34" x14ac:dyDescent="0.3">
      <c r="A132" t="s">
        <v>150</v>
      </c>
      <c r="B132">
        <v>6900</v>
      </c>
      <c r="C132">
        <v>47</v>
      </c>
      <c r="D132">
        <v>24.75</v>
      </c>
      <c r="E132">
        <v>20</v>
      </c>
      <c r="F132">
        <v>11.85</v>
      </c>
      <c r="G132">
        <v>5</v>
      </c>
      <c r="H132">
        <v>0.5</v>
      </c>
      <c r="I132">
        <v>30.39</v>
      </c>
      <c r="J132">
        <v>25.36</v>
      </c>
      <c r="K132">
        <v>18.3</v>
      </c>
      <c r="L132" s="19">
        <f t="shared" si="4"/>
        <v>9.2576629146701386</v>
      </c>
      <c r="M132">
        <v>28.2</v>
      </c>
      <c r="N132" s="19">
        <f t="shared" si="5"/>
        <v>12.078183570174746</v>
      </c>
      <c r="O132">
        <v>-1.5</v>
      </c>
      <c r="P132">
        <v>2.9</v>
      </c>
      <c r="Q132">
        <v>0.9</v>
      </c>
      <c r="R132">
        <v>0.44</v>
      </c>
      <c r="S132">
        <v>3.5999999999999997E-2</v>
      </c>
      <c r="T132">
        <v>3.5999999999999997E-2</v>
      </c>
      <c r="U132">
        <v>0.5</v>
      </c>
      <c r="V132">
        <v>0.5</v>
      </c>
      <c r="W132">
        <v>33</v>
      </c>
      <c r="X132">
        <v>12</v>
      </c>
      <c r="Y132" s="10">
        <v>15</v>
      </c>
      <c r="Z132" s="10">
        <v>0</v>
      </c>
      <c r="AA132" s="10">
        <v>4.6100000000000003</v>
      </c>
      <c r="AB132" s="10">
        <v>8.77</v>
      </c>
      <c r="AC132" s="10">
        <v>4.67</v>
      </c>
      <c r="AD132" s="10">
        <v>9.9499999999999993</v>
      </c>
      <c r="AE132" s="10">
        <v>3.4220000000000002</v>
      </c>
      <c r="AF132" s="10">
        <v>11.97</v>
      </c>
      <c r="AG132" s="10">
        <v>0</v>
      </c>
      <c r="AH132" s="10">
        <v>16</v>
      </c>
    </row>
    <row r="133" spans="1:34" x14ac:dyDescent="0.3">
      <c r="A133" t="s">
        <v>152</v>
      </c>
      <c r="B133">
        <v>6000</v>
      </c>
      <c r="C133">
        <v>47</v>
      </c>
      <c r="D133">
        <v>24.75</v>
      </c>
      <c r="E133">
        <v>20</v>
      </c>
      <c r="F133">
        <v>11.85</v>
      </c>
      <c r="G133">
        <v>5</v>
      </c>
      <c r="H133">
        <v>0.5</v>
      </c>
      <c r="I133">
        <v>30.39</v>
      </c>
      <c r="J133">
        <v>25.36</v>
      </c>
      <c r="K133">
        <v>18.3</v>
      </c>
      <c r="L133" s="19">
        <f t="shared" si="4"/>
        <v>9.2576629146701386</v>
      </c>
      <c r="M133">
        <v>28.2</v>
      </c>
      <c r="N133" s="19">
        <f t="shared" si="5"/>
        <v>12.078183570174746</v>
      </c>
      <c r="O133">
        <v>-1.5</v>
      </c>
      <c r="P133">
        <v>2.9</v>
      </c>
      <c r="Q133">
        <v>0.9</v>
      </c>
      <c r="R133">
        <v>0.44</v>
      </c>
      <c r="S133">
        <v>3.5999999999999997E-2</v>
      </c>
      <c r="T133">
        <v>3.5999999999999997E-2</v>
      </c>
      <c r="U133">
        <v>0.5</v>
      </c>
      <c r="V133">
        <v>0.5</v>
      </c>
      <c r="W133">
        <v>33</v>
      </c>
      <c r="X133">
        <v>12</v>
      </c>
      <c r="Y133" s="10">
        <v>11.342155010000001</v>
      </c>
      <c r="Z133" s="10">
        <v>0</v>
      </c>
      <c r="AA133" s="10">
        <v>3.4858223060000002</v>
      </c>
      <c r="AB133" s="10">
        <v>6.6313799619999996</v>
      </c>
      <c r="AC133" s="10">
        <v>3.5311909259999998</v>
      </c>
      <c r="AD133" s="10">
        <v>7.5236294900000003</v>
      </c>
      <c r="AE133" s="10">
        <v>2.5875236290000001</v>
      </c>
      <c r="AF133" s="10">
        <v>9.0510396980000003</v>
      </c>
      <c r="AG133" s="10">
        <v>0</v>
      </c>
      <c r="AH133" s="10">
        <v>12.098298679999999</v>
      </c>
    </row>
    <row r="134" spans="1:34" x14ac:dyDescent="0.3">
      <c r="A134" t="s">
        <v>151</v>
      </c>
      <c r="B134">
        <v>5000</v>
      </c>
      <c r="C134">
        <v>47</v>
      </c>
      <c r="D134">
        <v>24.75</v>
      </c>
      <c r="E134">
        <v>20</v>
      </c>
      <c r="F134">
        <v>11.85</v>
      </c>
      <c r="G134">
        <v>5</v>
      </c>
      <c r="H134">
        <v>0.5</v>
      </c>
      <c r="I134">
        <v>30.39</v>
      </c>
      <c r="J134">
        <v>25.36</v>
      </c>
      <c r="K134">
        <v>18.3</v>
      </c>
      <c r="L134" s="19">
        <f t="shared" si="4"/>
        <v>9.2576629146701386</v>
      </c>
      <c r="M134">
        <v>28.2</v>
      </c>
      <c r="N134" s="19">
        <f t="shared" si="5"/>
        <v>12.078183570174746</v>
      </c>
      <c r="O134">
        <v>-1.5</v>
      </c>
      <c r="P134">
        <v>2.9</v>
      </c>
      <c r="Q134">
        <v>0.9</v>
      </c>
      <c r="R134">
        <v>0.44</v>
      </c>
      <c r="S134">
        <v>3.5999999999999997E-2</v>
      </c>
      <c r="T134">
        <v>3.5999999999999997E-2</v>
      </c>
      <c r="U134">
        <v>0.5</v>
      </c>
      <c r="V134">
        <v>0.5</v>
      </c>
      <c r="W134">
        <v>33</v>
      </c>
      <c r="X134">
        <v>12</v>
      </c>
      <c r="Y134" s="10">
        <v>7.8764965340000002</v>
      </c>
      <c r="Z134" s="10">
        <v>0</v>
      </c>
      <c r="AA134" s="10">
        <v>2.4207099350000001</v>
      </c>
      <c r="AB134" s="10">
        <v>5.5261499680000004</v>
      </c>
      <c r="AC134" s="10">
        <v>2.4522159210000001</v>
      </c>
      <c r="AD134" s="10">
        <v>6.2696912410000003</v>
      </c>
      <c r="AE134" s="10">
        <v>1.7968914090000001</v>
      </c>
      <c r="AF134" s="10">
        <v>7.5425330810000002</v>
      </c>
      <c r="AG134" s="10">
        <v>0</v>
      </c>
      <c r="AH134" s="10">
        <v>10.081915560000001</v>
      </c>
    </row>
    <row r="135" spans="1:34" x14ac:dyDescent="0.3">
      <c r="A135" t="s">
        <v>151</v>
      </c>
      <c r="B135">
        <v>4000</v>
      </c>
      <c r="C135">
        <v>47</v>
      </c>
      <c r="D135">
        <v>24.75</v>
      </c>
      <c r="E135">
        <v>20</v>
      </c>
      <c r="F135">
        <v>11.85</v>
      </c>
      <c r="G135">
        <v>5</v>
      </c>
      <c r="H135">
        <v>0.5</v>
      </c>
      <c r="I135">
        <v>30.39</v>
      </c>
      <c r="J135">
        <v>25.36</v>
      </c>
      <c r="K135">
        <v>18.3</v>
      </c>
      <c r="L135" s="19">
        <f t="shared" ref="L135:L191" si="6">K135*SIN(I135/180*PI())</f>
        <v>9.2576629146701386</v>
      </c>
      <c r="M135">
        <v>28.2</v>
      </c>
      <c r="N135" s="19">
        <f t="shared" ref="N135:N191" si="7">M135*SIN(J135/180*PI())</f>
        <v>12.078183570174746</v>
      </c>
      <c r="O135">
        <v>-1.5</v>
      </c>
      <c r="P135">
        <v>2.9</v>
      </c>
      <c r="Q135">
        <v>0.9</v>
      </c>
      <c r="R135">
        <v>0.44</v>
      </c>
      <c r="S135">
        <v>3.5999999999999997E-2</v>
      </c>
      <c r="T135">
        <v>3.5999999999999997E-2</v>
      </c>
      <c r="U135">
        <v>0.5</v>
      </c>
      <c r="V135">
        <v>0.5</v>
      </c>
      <c r="W135">
        <v>33</v>
      </c>
      <c r="X135">
        <v>12</v>
      </c>
      <c r="Y135" s="10">
        <v>5.0409577820000004</v>
      </c>
      <c r="Z135" s="10">
        <v>0</v>
      </c>
      <c r="AA135" s="10">
        <v>1.549254358</v>
      </c>
      <c r="AB135" s="10">
        <v>4.4209199750000003</v>
      </c>
      <c r="AC135" s="10">
        <v>1.5694181890000001</v>
      </c>
      <c r="AD135" s="10">
        <v>5.0157529930000004</v>
      </c>
      <c r="AE135" s="10">
        <v>1.150010502</v>
      </c>
      <c r="AF135" s="10">
        <v>6.0340264650000002</v>
      </c>
      <c r="AG135" s="10">
        <v>0</v>
      </c>
      <c r="AH135" s="10">
        <v>8.0655324509999993</v>
      </c>
    </row>
    <row r="136" spans="1:34" x14ac:dyDescent="0.3">
      <c r="A136" t="s">
        <v>153</v>
      </c>
      <c r="B136">
        <v>7300</v>
      </c>
      <c r="C136">
        <v>47</v>
      </c>
      <c r="D136">
        <v>24.75</v>
      </c>
      <c r="E136">
        <v>20</v>
      </c>
      <c r="F136">
        <v>11.85</v>
      </c>
      <c r="G136">
        <v>5</v>
      </c>
      <c r="H136">
        <v>0.5</v>
      </c>
      <c r="I136">
        <v>30.17</v>
      </c>
      <c r="J136">
        <v>22.7</v>
      </c>
      <c r="K136">
        <v>21.77</v>
      </c>
      <c r="L136" s="19">
        <f t="shared" si="6"/>
        <v>10.940891089110668</v>
      </c>
      <c r="M136">
        <v>30.93</v>
      </c>
      <c r="N136" s="19">
        <f t="shared" si="7"/>
        <v>11.936073889091174</v>
      </c>
      <c r="O136">
        <v>-1.5</v>
      </c>
      <c r="P136">
        <v>2.9</v>
      </c>
      <c r="Q136">
        <v>0.9</v>
      </c>
      <c r="R136">
        <v>0.4</v>
      </c>
      <c r="S136">
        <v>0.02</v>
      </c>
      <c r="T136">
        <v>0.02</v>
      </c>
      <c r="U136">
        <v>0.5</v>
      </c>
      <c r="V136">
        <v>0.5</v>
      </c>
      <c r="W136">
        <v>35</v>
      </c>
      <c r="X136">
        <v>12</v>
      </c>
      <c r="Y136" s="10">
        <v>15</v>
      </c>
      <c r="Z136" s="10">
        <v>0</v>
      </c>
      <c r="AA136" s="10">
        <v>7.48</v>
      </c>
      <c r="AB136" s="10">
        <v>5.96</v>
      </c>
      <c r="AC136" s="10">
        <v>6.72</v>
      </c>
      <c r="AD136" s="10">
        <v>7.98</v>
      </c>
      <c r="AE136" s="10">
        <v>5.19</v>
      </c>
      <c r="AF136" s="10">
        <v>9.9499999999999993</v>
      </c>
      <c r="AG136" s="10">
        <v>0</v>
      </c>
      <c r="AH136" s="10">
        <v>15</v>
      </c>
    </row>
    <row r="137" spans="1:34" x14ac:dyDescent="0.3">
      <c r="A137" t="s">
        <v>153</v>
      </c>
      <c r="B137">
        <v>6000</v>
      </c>
      <c r="C137">
        <v>47</v>
      </c>
      <c r="D137">
        <v>24.75</v>
      </c>
      <c r="E137">
        <v>20</v>
      </c>
      <c r="F137">
        <v>11.85</v>
      </c>
      <c r="G137">
        <v>5</v>
      </c>
      <c r="H137">
        <v>0.5</v>
      </c>
      <c r="I137">
        <v>30.17</v>
      </c>
      <c r="J137">
        <v>22.7</v>
      </c>
      <c r="K137">
        <v>21.77</v>
      </c>
      <c r="L137" s="19">
        <f t="shared" si="6"/>
        <v>10.940891089110668</v>
      </c>
      <c r="M137">
        <v>30.93</v>
      </c>
      <c r="N137" s="19">
        <f t="shared" si="7"/>
        <v>11.936073889091174</v>
      </c>
      <c r="O137">
        <v>-1.5</v>
      </c>
      <c r="P137">
        <v>2.9</v>
      </c>
      <c r="Q137">
        <v>0.9</v>
      </c>
      <c r="R137">
        <v>0.4</v>
      </c>
      <c r="S137">
        <v>0.02</v>
      </c>
      <c r="T137">
        <v>0.02</v>
      </c>
      <c r="U137">
        <v>0.5</v>
      </c>
      <c r="V137">
        <v>0.5</v>
      </c>
      <c r="W137">
        <v>35</v>
      </c>
      <c r="X137">
        <v>12</v>
      </c>
      <c r="Y137" s="10">
        <v>10.13323325</v>
      </c>
      <c r="Z137" s="10">
        <v>0</v>
      </c>
      <c r="AA137" s="10">
        <v>5.0531056479999998</v>
      </c>
      <c r="AB137" s="10">
        <v>4.8986301369999996</v>
      </c>
      <c r="AC137" s="10">
        <v>4.5396884970000002</v>
      </c>
      <c r="AD137" s="10">
        <v>6.5589041100000003</v>
      </c>
      <c r="AE137" s="10">
        <v>3.5060987049999999</v>
      </c>
      <c r="AF137" s="10">
        <v>8.1780821919999998</v>
      </c>
      <c r="AG137" s="10">
        <v>0</v>
      </c>
      <c r="AH137" s="10">
        <v>12.32876712</v>
      </c>
    </row>
    <row r="138" spans="1:34" x14ac:dyDescent="0.3">
      <c r="A138" t="s">
        <v>154</v>
      </c>
      <c r="B138">
        <v>5000</v>
      </c>
      <c r="C138">
        <v>47</v>
      </c>
      <c r="D138">
        <v>24.75</v>
      </c>
      <c r="E138">
        <v>20</v>
      </c>
      <c r="F138">
        <v>11.85</v>
      </c>
      <c r="G138">
        <v>5</v>
      </c>
      <c r="H138">
        <v>0.5</v>
      </c>
      <c r="I138">
        <v>30.17</v>
      </c>
      <c r="J138">
        <v>22.7</v>
      </c>
      <c r="K138">
        <v>21.77</v>
      </c>
      <c r="L138" s="19">
        <f t="shared" si="6"/>
        <v>10.940891089110668</v>
      </c>
      <c r="M138">
        <v>30.93</v>
      </c>
      <c r="N138" s="19">
        <f t="shared" si="7"/>
        <v>11.936073889091174</v>
      </c>
      <c r="O138">
        <v>-1.5</v>
      </c>
      <c r="P138">
        <v>2.9</v>
      </c>
      <c r="Q138">
        <v>0.9</v>
      </c>
      <c r="R138">
        <v>0.4</v>
      </c>
      <c r="S138">
        <v>0.02</v>
      </c>
      <c r="T138">
        <v>0.02</v>
      </c>
      <c r="U138">
        <v>0.5</v>
      </c>
      <c r="V138">
        <v>0.5</v>
      </c>
      <c r="W138">
        <v>35</v>
      </c>
      <c r="X138">
        <v>12</v>
      </c>
      <c r="Y138" s="10">
        <v>7.0369675359999997</v>
      </c>
      <c r="Z138" s="10">
        <v>0</v>
      </c>
      <c r="AA138" s="10">
        <v>3.5091011449999998</v>
      </c>
      <c r="AB138" s="10">
        <v>4.0821917809999997</v>
      </c>
      <c r="AC138" s="10">
        <v>3.1525614559999999</v>
      </c>
      <c r="AD138" s="10">
        <v>5.4657534249999999</v>
      </c>
      <c r="AE138" s="10">
        <v>2.434790767</v>
      </c>
      <c r="AF138" s="10">
        <v>6.8150684930000001</v>
      </c>
      <c r="AG138" s="10">
        <v>0</v>
      </c>
      <c r="AH138" s="10">
        <v>10.2739726</v>
      </c>
    </row>
    <row r="139" spans="1:34" x14ac:dyDescent="0.3">
      <c r="A139" t="s">
        <v>154</v>
      </c>
      <c r="B139">
        <v>4000</v>
      </c>
      <c r="C139">
        <v>47</v>
      </c>
      <c r="D139">
        <v>24.75</v>
      </c>
      <c r="E139">
        <v>20</v>
      </c>
      <c r="F139">
        <v>11.85</v>
      </c>
      <c r="G139">
        <v>5</v>
      </c>
      <c r="H139">
        <v>0.5</v>
      </c>
      <c r="I139">
        <v>30.17</v>
      </c>
      <c r="J139">
        <v>22.7</v>
      </c>
      <c r="K139">
        <v>21.77</v>
      </c>
      <c r="L139" s="19">
        <f t="shared" si="6"/>
        <v>10.940891089110668</v>
      </c>
      <c r="M139">
        <v>30.93</v>
      </c>
      <c r="N139" s="19">
        <f t="shared" si="7"/>
        <v>11.936073889091174</v>
      </c>
      <c r="O139">
        <v>-1.5</v>
      </c>
      <c r="P139">
        <v>2.9</v>
      </c>
      <c r="Q139">
        <v>0.9</v>
      </c>
      <c r="R139">
        <v>0.4</v>
      </c>
      <c r="S139">
        <v>0.02</v>
      </c>
      <c r="T139">
        <v>0.02</v>
      </c>
      <c r="U139">
        <v>0.5</v>
      </c>
      <c r="V139">
        <v>0.5</v>
      </c>
      <c r="W139">
        <v>35</v>
      </c>
      <c r="X139">
        <v>12</v>
      </c>
      <c r="Y139" s="10">
        <v>4.5036592229999997</v>
      </c>
      <c r="Z139" s="10">
        <v>0</v>
      </c>
      <c r="AA139" s="10">
        <v>2.2458247330000001</v>
      </c>
      <c r="AB139" s="10">
        <v>3.2657534250000002</v>
      </c>
      <c r="AC139" s="10">
        <v>2.0176393319999999</v>
      </c>
      <c r="AD139" s="10">
        <v>4.3726027399999996</v>
      </c>
      <c r="AE139" s="10">
        <v>1.5582660909999999</v>
      </c>
      <c r="AF139" s="10">
        <v>5.4520547949999996</v>
      </c>
      <c r="AG139" s="10">
        <v>0</v>
      </c>
      <c r="AH139" s="10">
        <v>8.2191780820000009</v>
      </c>
    </row>
    <row r="140" spans="1:34" x14ac:dyDescent="0.3">
      <c r="A140" t="s">
        <v>155</v>
      </c>
      <c r="B140">
        <v>7000</v>
      </c>
      <c r="C140">
        <v>47</v>
      </c>
      <c r="D140">
        <v>20.5</v>
      </c>
      <c r="E140">
        <v>15</v>
      </c>
      <c r="F140">
        <v>10.15</v>
      </c>
      <c r="G140">
        <v>5</v>
      </c>
      <c r="H140">
        <v>0.5</v>
      </c>
      <c r="I140">
        <v>47</v>
      </c>
      <c r="J140">
        <v>23.99</v>
      </c>
      <c r="K140">
        <v>12.513999999999999</v>
      </c>
      <c r="L140" s="19">
        <f t="shared" si="6"/>
        <v>9.1521602220622995</v>
      </c>
      <c r="M140">
        <v>18.66</v>
      </c>
      <c r="N140" s="19">
        <f t="shared" si="7"/>
        <v>7.5867304236309812</v>
      </c>
      <c r="O140">
        <v>-1.65</v>
      </c>
      <c r="P140">
        <v>0</v>
      </c>
      <c r="Q140">
        <v>1</v>
      </c>
      <c r="R140">
        <v>0.5</v>
      </c>
      <c r="S140">
        <v>0.05</v>
      </c>
      <c r="T140">
        <v>0.05</v>
      </c>
      <c r="U140">
        <v>0.5</v>
      </c>
      <c r="V140">
        <v>0.5</v>
      </c>
      <c r="W140">
        <v>52</v>
      </c>
      <c r="X140">
        <v>10</v>
      </c>
      <c r="Y140" s="10">
        <v>9.9450000000000003</v>
      </c>
      <c r="Z140" s="10">
        <v>0</v>
      </c>
      <c r="AA140" s="10">
        <v>4.05</v>
      </c>
      <c r="AB140" s="10">
        <v>7.99</v>
      </c>
      <c r="AC140" s="10">
        <v>3.2130000000000001</v>
      </c>
      <c r="AD140" s="10">
        <v>11.99</v>
      </c>
      <c r="AE140" s="10">
        <v>2.63</v>
      </c>
      <c r="AF140" s="10">
        <v>13.97</v>
      </c>
      <c r="AG140" s="10">
        <v>0</v>
      </c>
      <c r="AH140" s="10">
        <v>18</v>
      </c>
    </row>
    <row r="141" spans="1:34" x14ac:dyDescent="0.3">
      <c r="A141" t="s">
        <v>155</v>
      </c>
      <c r="B141">
        <v>6000</v>
      </c>
      <c r="C141">
        <v>47</v>
      </c>
      <c r="D141">
        <v>20.5</v>
      </c>
      <c r="E141">
        <v>15</v>
      </c>
      <c r="F141">
        <v>10.15</v>
      </c>
      <c r="G141">
        <v>5</v>
      </c>
      <c r="H141">
        <v>0.5</v>
      </c>
      <c r="I141">
        <v>47</v>
      </c>
      <c r="J141">
        <v>23.99</v>
      </c>
      <c r="K141">
        <v>12.513999999999999</v>
      </c>
      <c r="L141" s="19">
        <f t="shared" si="6"/>
        <v>9.1521602220622995</v>
      </c>
      <c r="M141">
        <v>18.66</v>
      </c>
      <c r="N141" s="19">
        <f t="shared" si="7"/>
        <v>7.5867304236309812</v>
      </c>
      <c r="O141">
        <v>-1.65</v>
      </c>
      <c r="P141">
        <v>0</v>
      </c>
      <c r="Q141">
        <v>1</v>
      </c>
      <c r="R141">
        <v>0.5</v>
      </c>
      <c r="S141">
        <v>0.05</v>
      </c>
      <c r="T141">
        <v>0.05</v>
      </c>
      <c r="U141">
        <v>0.5</v>
      </c>
      <c r="V141">
        <v>0.5</v>
      </c>
      <c r="W141">
        <v>52</v>
      </c>
      <c r="X141">
        <v>10</v>
      </c>
      <c r="Y141" s="10">
        <v>7.3065306120000004</v>
      </c>
      <c r="Z141" s="10">
        <v>0</v>
      </c>
      <c r="AA141" s="10">
        <v>2.9755102039999999</v>
      </c>
      <c r="AB141" s="10">
        <v>6.8485714289999997</v>
      </c>
      <c r="AC141" s="10">
        <v>2.3605714290000002</v>
      </c>
      <c r="AD141" s="10">
        <v>10.27714286</v>
      </c>
      <c r="AE141" s="10">
        <v>1.932244898</v>
      </c>
      <c r="AF141" s="10">
        <v>11.97428571</v>
      </c>
      <c r="AG141" s="10">
        <v>0</v>
      </c>
      <c r="AH141" s="10">
        <v>15.42857143</v>
      </c>
    </row>
    <row r="142" spans="1:34" x14ac:dyDescent="0.3">
      <c r="A142" t="s">
        <v>156</v>
      </c>
      <c r="B142">
        <v>5000</v>
      </c>
      <c r="C142">
        <v>47</v>
      </c>
      <c r="D142">
        <v>20.5</v>
      </c>
      <c r="E142">
        <v>15</v>
      </c>
      <c r="F142">
        <v>10.15</v>
      </c>
      <c r="G142">
        <v>5</v>
      </c>
      <c r="H142">
        <v>0.5</v>
      </c>
      <c r="I142">
        <v>47</v>
      </c>
      <c r="J142">
        <v>23.99</v>
      </c>
      <c r="K142">
        <v>12.513999999999999</v>
      </c>
      <c r="L142" s="19">
        <f t="shared" si="6"/>
        <v>9.1521602220622995</v>
      </c>
      <c r="M142">
        <v>18.66</v>
      </c>
      <c r="N142" s="19">
        <f t="shared" si="7"/>
        <v>7.5867304236309812</v>
      </c>
      <c r="O142">
        <v>-1.65</v>
      </c>
      <c r="P142">
        <v>0</v>
      </c>
      <c r="Q142">
        <v>1</v>
      </c>
      <c r="R142">
        <v>0.5</v>
      </c>
      <c r="S142">
        <v>0.05</v>
      </c>
      <c r="T142">
        <v>0.05</v>
      </c>
      <c r="U142">
        <v>0.5</v>
      </c>
      <c r="V142">
        <v>0.5</v>
      </c>
      <c r="W142">
        <v>52</v>
      </c>
      <c r="X142">
        <v>10</v>
      </c>
      <c r="Y142" s="10">
        <v>5.0739795919999997</v>
      </c>
      <c r="Z142" s="10">
        <v>0</v>
      </c>
      <c r="AA142" s="10">
        <v>2.0663265310000001</v>
      </c>
      <c r="AB142" s="10">
        <v>5.707142857</v>
      </c>
      <c r="AC142" s="10">
        <v>1.6392857139999999</v>
      </c>
      <c r="AD142" s="10">
        <v>8.5642857140000004</v>
      </c>
      <c r="AE142" s="10">
        <v>1.341836735</v>
      </c>
      <c r="AF142" s="10">
        <v>9.9785714290000005</v>
      </c>
      <c r="AG142" s="10">
        <v>0</v>
      </c>
      <c r="AH142" s="10">
        <v>12.85714286</v>
      </c>
    </row>
    <row r="143" spans="1:34" x14ac:dyDescent="0.3">
      <c r="A143" t="s">
        <v>156</v>
      </c>
      <c r="B143">
        <v>4000</v>
      </c>
      <c r="C143">
        <v>47</v>
      </c>
      <c r="D143">
        <v>20.5</v>
      </c>
      <c r="E143">
        <v>15</v>
      </c>
      <c r="F143">
        <v>10.15</v>
      </c>
      <c r="G143">
        <v>5</v>
      </c>
      <c r="H143">
        <v>0.5</v>
      </c>
      <c r="I143">
        <v>47</v>
      </c>
      <c r="J143">
        <v>23.99</v>
      </c>
      <c r="K143">
        <v>12.513999999999999</v>
      </c>
      <c r="L143" s="19">
        <f t="shared" si="6"/>
        <v>9.1521602220622995</v>
      </c>
      <c r="M143">
        <v>18.66</v>
      </c>
      <c r="N143" s="19">
        <f t="shared" si="7"/>
        <v>7.5867304236309812</v>
      </c>
      <c r="O143">
        <v>-1.65</v>
      </c>
      <c r="P143">
        <v>0</v>
      </c>
      <c r="Q143">
        <v>1</v>
      </c>
      <c r="R143">
        <v>0.5</v>
      </c>
      <c r="S143">
        <v>0.05</v>
      </c>
      <c r="T143">
        <v>0.05</v>
      </c>
      <c r="U143">
        <v>0.5</v>
      </c>
      <c r="V143">
        <v>0.5</v>
      </c>
      <c r="W143">
        <v>52</v>
      </c>
      <c r="X143">
        <v>10</v>
      </c>
      <c r="Y143" s="10">
        <v>3.2473469389999998</v>
      </c>
      <c r="Z143" s="10">
        <v>0</v>
      </c>
      <c r="AA143" s="10">
        <v>1.3224489800000001</v>
      </c>
      <c r="AB143" s="10">
        <v>4.5657142860000004</v>
      </c>
      <c r="AC143" s="10">
        <v>1.0491428570000001</v>
      </c>
      <c r="AD143" s="10">
        <v>6.8514285709999996</v>
      </c>
      <c r="AE143" s="10">
        <v>0.85877550999999996</v>
      </c>
      <c r="AF143" s="10">
        <v>7.9828571430000004</v>
      </c>
      <c r="AG143" s="10">
        <v>0</v>
      </c>
      <c r="AH143" s="10">
        <v>10.28571429</v>
      </c>
    </row>
    <row r="144" spans="1:34" x14ac:dyDescent="0.3">
      <c r="A144" t="s">
        <v>157</v>
      </c>
      <c r="B144">
        <v>7000</v>
      </c>
      <c r="C144">
        <v>47</v>
      </c>
      <c r="D144">
        <v>20.5</v>
      </c>
      <c r="E144">
        <v>15</v>
      </c>
      <c r="F144">
        <v>10.15</v>
      </c>
      <c r="G144">
        <v>7</v>
      </c>
      <c r="H144">
        <v>0.5</v>
      </c>
      <c r="I144">
        <v>49.720999999999997</v>
      </c>
      <c r="J144">
        <v>26.09</v>
      </c>
      <c r="K144">
        <v>10.06</v>
      </c>
      <c r="L144" s="19">
        <f t="shared" si="6"/>
        <v>7.6748277133479599</v>
      </c>
      <c r="M144">
        <v>17.39</v>
      </c>
      <c r="N144" s="19">
        <f t="shared" si="7"/>
        <v>7.6478164190306721</v>
      </c>
      <c r="O144">
        <v>-1.65</v>
      </c>
      <c r="P144">
        <v>0</v>
      </c>
      <c r="Q144">
        <v>1</v>
      </c>
      <c r="R144">
        <v>0.5</v>
      </c>
      <c r="S144">
        <v>0.05</v>
      </c>
      <c r="T144">
        <v>0.05</v>
      </c>
      <c r="U144">
        <v>0.5</v>
      </c>
      <c r="V144">
        <v>0.5</v>
      </c>
      <c r="W144">
        <v>52</v>
      </c>
      <c r="X144">
        <v>10</v>
      </c>
      <c r="Y144" s="10">
        <v>10.08</v>
      </c>
      <c r="Z144" s="10">
        <v>0</v>
      </c>
      <c r="AA144" s="10">
        <v>3.25</v>
      </c>
      <c r="AB144" s="10">
        <v>10.08</v>
      </c>
      <c r="AC144" s="10">
        <v>3.3639999999999999</v>
      </c>
      <c r="AD144" s="10">
        <v>11.98</v>
      </c>
      <c r="AE144" s="10">
        <v>3.38</v>
      </c>
      <c r="AF144" s="10">
        <v>13.99</v>
      </c>
      <c r="AG144" s="10">
        <v>0</v>
      </c>
      <c r="AH144" s="10">
        <v>19.5</v>
      </c>
    </row>
    <row r="145" spans="1:34" x14ac:dyDescent="0.3">
      <c r="A145" t="s">
        <v>157</v>
      </c>
      <c r="B145">
        <v>6000</v>
      </c>
      <c r="C145">
        <v>47</v>
      </c>
      <c r="D145">
        <v>20.5</v>
      </c>
      <c r="E145">
        <v>15</v>
      </c>
      <c r="F145">
        <v>10.15</v>
      </c>
      <c r="G145">
        <v>7</v>
      </c>
      <c r="H145">
        <v>0.5</v>
      </c>
      <c r="I145">
        <v>49.720999999999997</v>
      </c>
      <c r="J145">
        <v>26.09</v>
      </c>
      <c r="K145">
        <v>10.06</v>
      </c>
      <c r="L145" s="19">
        <f t="shared" si="6"/>
        <v>7.6748277133479599</v>
      </c>
      <c r="M145">
        <v>17.39</v>
      </c>
      <c r="N145" s="19">
        <f t="shared" si="7"/>
        <v>7.6478164190306721</v>
      </c>
      <c r="O145">
        <v>-1.65</v>
      </c>
      <c r="P145">
        <v>0</v>
      </c>
      <c r="Q145">
        <v>1</v>
      </c>
      <c r="R145">
        <v>0.5</v>
      </c>
      <c r="S145">
        <v>0.05</v>
      </c>
      <c r="T145">
        <v>0.05</v>
      </c>
      <c r="U145">
        <v>0.5</v>
      </c>
      <c r="V145">
        <v>0.5</v>
      </c>
      <c r="W145">
        <v>52</v>
      </c>
      <c r="X145">
        <v>10</v>
      </c>
      <c r="Y145" s="10">
        <v>7.4057142860000003</v>
      </c>
      <c r="Z145" s="10">
        <v>0</v>
      </c>
      <c r="AA145" s="10">
        <v>2.3877551019999999</v>
      </c>
      <c r="AB145" s="10">
        <v>8.64</v>
      </c>
      <c r="AC145" s="10">
        <v>2.4715102039999999</v>
      </c>
      <c r="AD145" s="10">
        <v>10.26857143</v>
      </c>
      <c r="AE145" s="10">
        <v>2.4832653059999998</v>
      </c>
      <c r="AF145" s="10">
        <v>11.99142857</v>
      </c>
      <c r="AG145" s="10">
        <v>0</v>
      </c>
      <c r="AH145" s="10">
        <v>16.714285709999999</v>
      </c>
    </row>
    <row r="146" spans="1:34" x14ac:dyDescent="0.3">
      <c r="A146" t="s">
        <v>158</v>
      </c>
      <c r="B146">
        <v>5000</v>
      </c>
      <c r="C146">
        <v>47</v>
      </c>
      <c r="D146">
        <v>20.5</v>
      </c>
      <c r="E146">
        <v>15</v>
      </c>
      <c r="F146">
        <v>10.15</v>
      </c>
      <c r="G146">
        <v>7</v>
      </c>
      <c r="H146">
        <v>0.5</v>
      </c>
      <c r="I146">
        <v>49.720999999999997</v>
      </c>
      <c r="J146">
        <v>26.09</v>
      </c>
      <c r="K146">
        <v>10.06</v>
      </c>
      <c r="L146" s="19">
        <f t="shared" si="6"/>
        <v>7.6748277133479599</v>
      </c>
      <c r="M146">
        <v>17.39</v>
      </c>
      <c r="N146" s="19">
        <f t="shared" si="7"/>
        <v>7.6478164190306721</v>
      </c>
      <c r="O146">
        <v>-1.65</v>
      </c>
      <c r="P146">
        <v>0</v>
      </c>
      <c r="Q146">
        <v>1</v>
      </c>
      <c r="R146">
        <v>0.5</v>
      </c>
      <c r="S146">
        <v>0.05</v>
      </c>
      <c r="T146">
        <v>0.05</v>
      </c>
      <c r="U146">
        <v>0.5</v>
      </c>
      <c r="V146">
        <v>0.5</v>
      </c>
      <c r="W146">
        <v>52</v>
      </c>
      <c r="X146">
        <v>10</v>
      </c>
      <c r="Y146" s="10">
        <v>5.1428571429999996</v>
      </c>
      <c r="Z146" s="10">
        <v>0</v>
      </c>
      <c r="AA146" s="10">
        <v>1.658163265</v>
      </c>
      <c r="AB146" s="10">
        <v>7.2</v>
      </c>
      <c r="AC146" s="10">
        <v>1.716326531</v>
      </c>
      <c r="AD146" s="10">
        <v>8.5571428570000005</v>
      </c>
      <c r="AE146" s="10">
        <v>1.7244897960000001</v>
      </c>
      <c r="AF146" s="10">
        <v>9.9928571430000002</v>
      </c>
      <c r="AG146" s="10">
        <v>0</v>
      </c>
      <c r="AH146" s="10">
        <v>13.92857143</v>
      </c>
    </row>
    <row r="147" spans="1:34" x14ac:dyDescent="0.3">
      <c r="A147" t="s">
        <v>158</v>
      </c>
      <c r="B147">
        <v>4000</v>
      </c>
      <c r="C147">
        <v>47</v>
      </c>
      <c r="D147">
        <v>20.5</v>
      </c>
      <c r="E147">
        <v>15</v>
      </c>
      <c r="F147">
        <v>10.15</v>
      </c>
      <c r="G147">
        <v>7</v>
      </c>
      <c r="H147">
        <v>0.5</v>
      </c>
      <c r="I147">
        <v>49.720999999999997</v>
      </c>
      <c r="J147">
        <v>26.09</v>
      </c>
      <c r="K147">
        <v>10.06</v>
      </c>
      <c r="L147" s="19">
        <f t="shared" si="6"/>
        <v>7.6748277133479599</v>
      </c>
      <c r="M147">
        <v>17.39</v>
      </c>
      <c r="N147" s="19">
        <f t="shared" si="7"/>
        <v>7.6478164190306721</v>
      </c>
      <c r="O147">
        <v>-1.65</v>
      </c>
      <c r="P147">
        <v>0</v>
      </c>
      <c r="Q147">
        <v>1</v>
      </c>
      <c r="R147">
        <v>0.5</v>
      </c>
      <c r="S147">
        <v>0.05</v>
      </c>
      <c r="T147">
        <v>0.05</v>
      </c>
      <c r="U147">
        <v>0.5</v>
      </c>
      <c r="V147">
        <v>0.5</v>
      </c>
      <c r="W147">
        <v>52</v>
      </c>
      <c r="X147">
        <v>10</v>
      </c>
      <c r="Y147" s="10">
        <v>3.291428571</v>
      </c>
      <c r="Z147" s="10">
        <v>0</v>
      </c>
      <c r="AA147" s="10">
        <v>1.0612244900000001</v>
      </c>
      <c r="AB147" s="10">
        <v>5.76</v>
      </c>
      <c r="AC147" s="10">
        <v>1.0984489799999999</v>
      </c>
      <c r="AD147" s="10">
        <v>6.8457142859999998</v>
      </c>
      <c r="AE147" s="10">
        <v>1.1036734690000001</v>
      </c>
      <c r="AF147" s="10">
        <v>7.9942857140000001</v>
      </c>
      <c r="AG147" s="10">
        <v>0</v>
      </c>
      <c r="AH147" s="10">
        <v>11.14285714</v>
      </c>
    </row>
    <row r="148" spans="1:34" s="16" customFormat="1" x14ac:dyDescent="0.3">
      <c r="A148" s="16" t="s">
        <v>159</v>
      </c>
      <c r="B148" s="16">
        <v>7000</v>
      </c>
      <c r="C148" s="16">
        <v>56.6</v>
      </c>
      <c r="D148" s="16">
        <v>22.4</v>
      </c>
      <c r="E148" s="16">
        <v>20</v>
      </c>
      <c r="F148" s="16">
        <v>12.5</v>
      </c>
      <c r="G148" s="16">
        <v>5</v>
      </c>
      <c r="H148" s="16">
        <v>0.5</v>
      </c>
      <c r="I148" s="16">
        <v>42.295999999999999</v>
      </c>
      <c r="J148" s="16">
        <v>35.006</v>
      </c>
      <c r="K148" s="16">
        <v>9.8241436929999999</v>
      </c>
      <c r="L148" s="19">
        <f t="shared" si="6"/>
        <v>6.6112643443955035</v>
      </c>
      <c r="M148" s="16">
        <v>12.67293233</v>
      </c>
      <c r="N148" s="19">
        <f t="shared" si="7"/>
        <v>7.2699824259973695</v>
      </c>
      <c r="O148" s="16">
        <v>-4.67</v>
      </c>
      <c r="P148" s="16">
        <v>-1</v>
      </c>
      <c r="Q148" s="16">
        <v>1.65</v>
      </c>
      <c r="R148" s="16">
        <v>0.97499999999999998</v>
      </c>
      <c r="S148" s="16">
        <v>0.04</v>
      </c>
      <c r="T148" s="16">
        <v>0.04</v>
      </c>
      <c r="U148" s="16">
        <v>0.61</v>
      </c>
      <c r="V148" s="16">
        <v>0.41</v>
      </c>
      <c r="W148" s="11">
        <v>30</v>
      </c>
      <c r="X148" s="11">
        <v>2.5</v>
      </c>
      <c r="Y148" s="17">
        <v>13.85575697</v>
      </c>
      <c r="Z148" s="17">
        <v>0</v>
      </c>
      <c r="AA148" s="17">
        <v>5.2049806030000001</v>
      </c>
      <c r="AB148" s="17">
        <v>17.54275196</v>
      </c>
      <c r="AC148" s="17">
        <v>5.8744691170000003</v>
      </c>
      <c r="AD148" s="17">
        <v>24.035643260000001</v>
      </c>
      <c r="AE148" s="17">
        <v>3.7963834780000001</v>
      </c>
      <c r="AF148" s="17">
        <v>32.782514880000001</v>
      </c>
      <c r="AG148" s="17">
        <v>0</v>
      </c>
      <c r="AH148" s="17">
        <v>39.893831489999997</v>
      </c>
    </row>
    <row r="149" spans="1:34" s="16" customFormat="1" x14ac:dyDescent="0.3">
      <c r="A149" s="16" t="s">
        <v>159</v>
      </c>
      <c r="B149" s="16">
        <v>6000</v>
      </c>
      <c r="C149" s="16">
        <v>56.6</v>
      </c>
      <c r="D149" s="16">
        <v>22.4</v>
      </c>
      <c r="E149" s="16">
        <v>20</v>
      </c>
      <c r="F149" s="16">
        <v>12.5</v>
      </c>
      <c r="G149" s="16">
        <v>5</v>
      </c>
      <c r="H149" s="16">
        <v>0.5</v>
      </c>
      <c r="I149" s="16">
        <v>42.295999999999999</v>
      </c>
      <c r="J149" s="16">
        <v>35.006</v>
      </c>
      <c r="K149" s="16">
        <v>9.8241436929999999</v>
      </c>
      <c r="L149" s="19">
        <f t="shared" si="6"/>
        <v>6.6112643443955035</v>
      </c>
      <c r="M149" s="16">
        <v>12.67293233</v>
      </c>
      <c r="N149" s="19">
        <f t="shared" si="7"/>
        <v>7.2699824259973695</v>
      </c>
      <c r="O149" s="16">
        <v>-4.67</v>
      </c>
      <c r="P149" s="16">
        <v>-1</v>
      </c>
      <c r="Q149" s="16">
        <v>1.65</v>
      </c>
      <c r="R149" s="16">
        <v>0.97499999999999998</v>
      </c>
      <c r="S149" s="16">
        <v>0.04</v>
      </c>
      <c r="T149" s="16">
        <v>0.04</v>
      </c>
      <c r="U149" s="16">
        <v>0.61</v>
      </c>
      <c r="V149" s="16">
        <v>0.41</v>
      </c>
      <c r="W149" s="11">
        <v>30</v>
      </c>
      <c r="X149" s="11">
        <v>2.5</v>
      </c>
      <c r="Y149" s="17">
        <v>10.17973982</v>
      </c>
      <c r="Z149" s="17">
        <v>0</v>
      </c>
      <c r="AA149" s="17">
        <v>3.824067382</v>
      </c>
      <c r="AB149" s="17">
        <v>15.036644539999999</v>
      </c>
      <c r="AC149" s="17">
        <v>4.3159364939999998</v>
      </c>
      <c r="AD149" s="17">
        <v>20.60197994</v>
      </c>
      <c r="AE149" s="17">
        <v>2.7891796979999999</v>
      </c>
      <c r="AF149" s="17">
        <v>28.099298470000001</v>
      </c>
      <c r="AG149" s="17">
        <v>0</v>
      </c>
      <c r="AH149" s="17">
        <v>34.194712699999997</v>
      </c>
    </row>
    <row r="150" spans="1:34" s="16" customFormat="1" x14ac:dyDescent="0.3">
      <c r="A150" s="16" t="s">
        <v>160</v>
      </c>
      <c r="B150" s="16">
        <v>5000</v>
      </c>
      <c r="C150" s="16">
        <v>56.6</v>
      </c>
      <c r="D150" s="16">
        <v>22.4</v>
      </c>
      <c r="E150" s="16">
        <v>20</v>
      </c>
      <c r="F150" s="16">
        <v>12.5</v>
      </c>
      <c r="G150" s="16">
        <v>5</v>
      </c>
      <c r="H150" s="16">
        <v>0.5</v>
      </c>
      <c r="I150" s="16">
        <v>42.295999999999999</v>
      </c>
      <c r="J150" s="16">
        <v>35.006</v>
      </c>
      <c r="K150" s="16">
        <v>9.8241436929999999</v>
      </c>
      <c r="L150" s="19">
        <f t="shared" si="6"/>
        <v>6.6112643443955035</v>
      </c>
      <c r="M150" s="16">
        <v>12.67293233</v>
      </c>
      <c r="N150" s="19">
        <f t="shared" si="7"/>
        <v>7.2699824259973695</v>
      </c>
      <c r="O150" s="16">
        <v>-4.67</v>
      </c>
      <c r="P150" s="16">
        <v>-1</v>
      </c>
      <c r="Q150" s="16">
        <v>1.65</v>
      </c>
      <c r="R150" s="16">
        <v>0.97499999999999998</v>
      </c>
      <c r="S150" s="16">
        <v>0.04</v>
      </c>
      <c r="T150" s="16">
        <v>0.04</v>
      </c>
      <c r="U150" s="16">
        <v>0.61</v>
      </c>
      <c r="V150" s="16">
        <v>0.41</v>
      </c>
      <c r="W150" s="11">
        <v>30</v>
      </c>
      <c r="X150" s="11">
        <v>2.5</v>
      </c>
      <c r="Y150" s="17">
        <v>7.0692637620000003</v>
      </c>
      <c r="Z150" s="17">
        <v>0</v>
      </c>
      <c r="AA150" s="17">
        <v>2.6556023479999999</v>
      </c>
      <c r="AB150" s="17">
        <v>12.530537109999999</v>
      </c>
      <c r="AC150" s="17">
        <v>2.9971781210000001</v>
      </c>
      <c r="AD150" s="17">
        <v>17.168316619999999</v>
      </c>
      <c r="AE150" s="17">
        <v>1.936930346</v>
      </c>
      <c r="AF150" s="17">
        <v>23.416082060000001</v>
      </c>
      <c r="AG150" s="17">
        <v>0</v>
      </c>
      <c r="AH150" s="17">
        <v>28.495593920000001</v>
      </c>
    </row>
    <row r="151" spans="1:34" s="16" customFormat="1" x14ac:dyDescent="0.3">
      <c r="A151" s="16" t="s">
        <v>160</v>
      </c>
      <c r="B151" s="16">
        <v>4000</v>
      </c>
      <c r="C151" s="16">
        <v>56.6</v>
      </c>
      <c r="D151" s="16">
        <v>22.4</v>
      </c>
      <c r="E151" s="16">
        <v>20</v>
      </c>
      <c r="F151" s="16">
        <v>12.5</v>
      </c>
      <c r="G151" s="16">
        <v>5</v>
      </c>
      <c r="H151" s="16">
        <v>0.5</v>
      </c>
      <c r="I151" s="16">
        <v>42.295999999999999</v>
      </c>
      <c r="J151" s="16">
        <v>35.006</v>
      </c>
      <c r="K151" s="16">
        <v>9.8241436929999999</v>
      </c>
      <c r="L151" s="19">
        <f t="shared" si="6"/>
        <v>6.6112643443955035</v>
      </c>
      <c r="M151" s="16">
        <v>12.67293233</v>
      </c>
      <c r="N151" s="19">
        <f t="shared" si="7"/>
        <v>7.2699824259973695</v>
      </c>
      <c r="O151" s="16">
        <v>-4.67</v>
      </c>
      <c r="P151" s="16">
        <v>-1</v>
      </c>
      <c r="Q151" s="16">
        <v>1.65</v>
      </c>
      <c r="R151" s="16">
        <v>0.97499999999999998</v>
      </c>
      <c r="S151" s="16">
        <v>0.04</v>
      </c>
      <c r="T151" s="16">
        <v>0.04</v>
      </c>
      <c r="U151" s="16">
        <v>0.61</v>
      </c>
      <c r="V151" s="16">
        <v>0.41</v>
      </c>
      <c r="W151" s="11">
        <v>30</v>
      </c>
      <c r="X151" s="11">
        <v>2.5</v>
      </c>
      <c r="Y151" s="17">
        <v>4.5243288079999999</v>
      </c>
      <c r="Z151" s="17">
        <v>0</v>
      </c>
      <c r="AA151" s="17">
        <v>1.699585503</v>
      </c>
      <c r="AB151" s="17">
        <v>10.02442969</v>
      </c>
      <c r="AC151" s="17">
        <v>1.9181939969999999</v>
      </c>
      <c r="AD151" s="17">
        <v>13.734653290000001</v>
      </c>
      <c r="AE151" s="17">
        <v>1.239635421</v>
      </c>
      <c r="AF151" s="17">
        <v>18.732865650000001</v>
      </c>
      <c r="AG151" s="17">
        <v>0</v>
      </c>
      <c r="AH151" s="17">
        <v>22.796475139999998</v>
      </c>
    </row>
    <row r="152" spans="1:34" s="11" customFormat="1" x14ac:dyDescent="0.3">
      <c r="A152" s="11" t="s">
        <v>161</v>
      </c>
      <c r="B152" s="11">
        <v>4000</v>
      </c>
      <c r="C152" s="11">
        <v>65.5</v>
      </c>
      <c r="D152" s="11">
        <v>32.4</v>
      </c>
      <c r="E152" s="11">
        <v>20</v>
      </c>
      <c r="F152" s="11">
        <v>14</v>
      </c>
      <c r="G152" s="11">
        <v>9</v>
      </c>
      <c r="H152" s="11">
        <v>1.05</v>
      </c>
      <c r="I152" s="11">
        <v>58</v>
      </c>
      <c r="J152" s="11">
        <v>41</v>
      </c>
      <c r="K152" s="11">
        <v>14</v>
      </c>
      <c r="L152" s="19">
        <f t="shared" si="6"/>
        <v>11.872673346189963</v>
      </c>
      <c r="M152" s="11">
        <v>20</v>
      </c>
      <c r="N152" s="19">
        <f t="shared" si="7"/>
        <v>13.121180579810146</v>
      </c>
      <c r="O152" s="11">
        <v>-2.25</v>
      </c>
      <c r="P152" s="11">
        <v>-0.83</v>
      </c>
      <c r="Q152" s="11">
        <v>1.5</v>
      </c>
      <c r="R152" s="11">
        <v>0.6</v>
      </c>
      <c r="S152" s="11">
        <v>0.09</v>
      </c>
      <c r="T152" s="11">
        <v>0.05</v>
      </c>
      <c r="U152" s="11">
        <v>0.3</v>
      </c>
      <c r="V152" s="11">
        <v>0.6</v>
      </c>
      <c r="W152" s="11">
        <v>33</v>
      </c>
      <c r="X152" s="11">
        <v>700</v>
      </c>
      <c r="Y152" s="12">
        <v>5.5</v>
      </c>
      <c r="Z152" s="12">
        <v>0</v>
      </c>
      <c r="AA152" s="12">
        <v>1.9460412739999999</v>
      </c>
      <c r="AB152" s="12">
        <v>16.79142774</v>
      </c>
      <c r="AC152" s="12">
        <v>1.722095283</v>
      </c>
      <c r="AD152" s="12">
        <v>24.58115239</v>
      </c>
      <c r="AE152" s="12">
        <v>1.913127091</v>
      </c>
      <c r="AF152" s="12">
        <v>27.975210130000001</v>
      </c>
      <c r="AG152" s="12">
        <v>0</v>
      </c>
      <c r="AH152" s="12">
        <v>36.221579290000001</v>
      </c>
    </row>
    <row r="153" spans="1:34" s="11" customFormat="1" x14ac:dyDescent="0.3">
      <c r="A153" s="11" t="s">
        <v>174</v>
      </c>
      <c r="B153" s="11">
        <v>3500</v>
      </c>
      <c r="C153" s="11">
        <v>65.5</v>
      </c>
      <c r="D153" s="11">
        <v>32.4</v>
      </c>
      <c r="E153" s="11">
        <v>20</v>
      </c>
      <c r="F153" s="11">
        <v>14</v>
      </c>
      <c r="G153" s="11">
        <v>9</v>
      </c>
      <c r="H153" s="11">
        <v>1.05</v>
      </c>
      <c r="I153" s="11">
        <v>58</v>
      </c>
      <c r="J153" s="11">
        <v>41</v>
      </c>
      <c r="K153" s="11">
        <v>14</v>
      </c>
      <c r="L153" s="19">
        <f t="shared" si="6"/>
        <v>11.872673346189963</v>
      </c>
      <c r="M153" s="11">
        <v>20</v>
      </c>
      <c r="N153" s="19">
        <f t="shared" si="7"/>
        <v>13.121180579810146</v>
      </c>
      <c r="O153" s="11">
        <v>-2.25</v>
      </c>
      <c r="P153" s="11">
        <v>-0.83</v>
      </c>
      <c r="Q153" s="11">
        <v>1.5</v>
      </c>
      <c r="R153" s="11">
        <v>0.6</v>
      </c>
      <c r="S153" s="11">
        <v>0.09</v>
      </c>
      <c r="T153" s="11">
        <v>0.05</v>
      </c>
      <c r="U153" s="11">
        <v>0.3</v>
      </c>
      <c r="V153" s="11">
        <v>0.6</v>
      </c>
      <c r="W153" s="11">
        <v>33</v>
      </c>
      <c r="X153" s="11">
        <v>700</v>
      </c>
      <c r="Y153" s="12">
        <v>4.2109375</v>
      </c>
      <c r="Z153" s="12">
        <v>0</v>
      </c>
      <c r="AA153" s="12">
        <v>1.48993785</v>
      </c>
      <c r="AB153" s="12">
        <v>14.69249928</v>
      </c>
      <c r="AC153" s="12">
        <v>1.3184792009999999</v>
      </c>
      <c r="AD153" s="12">
        <v>21.508508339999999</v>
      </c>
      <c r="AE153" s="12">
        <v>1.464737929</v>
      </c>
      <c r="AF153" s="12">
        <v>24.478308859999999</v>
      </c>
      <c r="AG153" s="12">
        <v>0</v>
      </c>
      <c r="AH153" s="12">
        <v>31.693881879999999</v>
      </c>
    </row>
    <row r="154" spans="1:34" s="11" customFormat="1" x14ac:dyDescent="0.3">
      <c r="A154" s="11" t="s">
        <v>174</v>
      </c>
      <c r="B154" s="11">
        <v>3000</v>
      </c>
      <c r="C154" s="11">
        <v>65.5</v>
      </c>
      <c r="D154" s="11">
        <v>32.4</v>
      </c>
      <c r="E154" s="11">
        <v>20</v>
      </c>
      <c r="F154" s="11">
        <v>14</v>
      </c>
      <c r="G154" s="11">
        <v>9</v>
      </c>
      <c r="H154" s="11">
        <v>1.05</v>
      </c>
      <c r="I154" s="11">
        <v>58</v>
      </c>
      <c r="J154" s="11">
        <v>41</v>
      </c>
      <c r="K154" s="11">
        <v>14</v>
      </c>
      <c r="L154" s="19">
        <f t="shared" si="6"/>
        <v>11.872673346189963</v>
      </c>
      <c r="M154" s="11">
        <v>20</v>
      </c>
      <c r="N154" s="19">
        <f t="shared" si="7"/>
        <v>13.121180579810146</v>
      </c>
      <c r="O154" s="11">
        <v>-2.25</v>
      </c>
      <c r="P154" s="11">
        <v>-0.83</v>
      </c>
      <c r="Q154" s="11">
        <v>1.5</v>
      </c>
      <c r="R154" s="11">
        <v>0.6</v>
      </c>
      <c r="S154" s="11">
        <v>0.09</v>
      </c>
      <c r="T154" s="11">
        <v>0.05</v>
      </c>
      <c r="U154" s="11">
        <v>0.3</v>
      </c>
      <c r="V154" s="11">
        <v>0.6</v>
      </c>
      <c r="W154" s="11">
        <v>33</v>
      </c>
      <c r="X154" s="11">
        <v>700</v>
      </c>
      <c r="Y154" s="12">
        <v>3.09375</v>
      </c>
      <c r="Z154" s="12">
        <v>0</v>
      </c>
      <c r="AA154" s="12">
        <v>1.094648217</v>
      </c>
      <c r="AB154" s="12">
        <v>12.593570809999999</v>
      </c>
      <c r="AC154" s="12">
        <v>0.96867859599999995</v>
      </c>
      <c r="AD154" s="12">
        <v>18.435864299999999</v>
      </c>
      <c r="AE154" s="12">
        <v>1.0761339889999999</v>
      </c>
      <c r="AF154" s="12">
        <v>20.981407600000001</v>
      </c>
      <c r="AG154" s="12">
        <v>0</v>
      </c>
      <c r="AH154" s="12">
        <v>27.166184470000001</v>
      </c>
    </row>
    <row r="155" spans="1:34" s="11" customFormat="1" x14ac:dyDescent="0.3">
      <c r="A155" s="11" t="s">
        <v>161</v>
      </c>
      <c r="B155" s="11">
        <v>2500</v>
      </c>
      <c r="C155" s="11">
        <v>65.5</v>
      </c>
      <c r="D155" s="11">
        <v>32.4</v>
      </c>
      <c r="E155" s="11">
        <v>20</v>
      </c>
      <c r="F155" s="11">
        <v>14</v>
      </c>
      <c r="G155" s="11">
        <v>9</v>
      </c>
      <c r="H155" s="11">
        <v>1.05</v>
      </c>
      <c r="I155" s="11">
        <v>58</v>
      </c>
      <c r="J155" s="11">
        <v>41</v>
      </c>
      <c r="K155" s="11">
        <v>14</v>
      </c>
      <c r="L155" s="19">
        <f t="shared" si="6"/>
        <v>11.872673346189963</v>
      </c>
      <c r="M155" s="11">
        <v>20</v>
      </c>
      <c r="N155" s="19">
        <f t="shared" si="7"/>
        <v>13.121180579810146</v>
      </c>
      <c r="O155" s="11">
        <v>-2.25</v>
      </c>
      <c r="P155" s="11">
        <v>-0.83</v>
      </c>
      <c r="Q155" s="11">
        <v>1.5</v>
      </c>
      <c r="R155" s="11">
        <v>0.6</v>
      </c>
      <c r="S155" s="11">
        <v>0.09</v>
      </c>
      <c r="T155" s="11">
        <v>0.05</v>
      </c>
      <c r="U155" s="11">
        <v>0.3</v>
      </c>
      <c r="V155" s="11">
        <v>0.6</v>
      </c>
      <c r="W155" s="11">
        <v>33</v>
      </c>
      <c r="X155" s="11">
        <v>700</v>
      </c>
      <c r="Y155" s="12">
        <v>2.1484375</v>
      </c>
      <c r="Z155" s="12">
        <v>0</v>
      </c>
      <c r="AA155" s="12">
        <v>0.76017237299999996</v>
      </c>
      <c r="AB155" s="12">
        <v>10.49464234</v>
      </c>
      <c r="AC155" s="12">
        <v>0.67269347000000002</v>
      </c>
      <c r="AD155" s="12">
        <v>15.363220249999999</v>
      </c>
      <c r="AE155" s="12">
        <v>0.74731526999999998</v>
      </c>
      <c r="AF155" s="12">
        <v>17.484506329999999</v>
      </c>
      <c r="AG155" s="12">
        <v>0</v>
      </c>
      <c r="AH155" s="12">
        <v>22.638487049999998</v>
      </c>
    </row>
    <row r="156" spans="1:34" s="11" customFormat="1" x14ac:dyDescent="0.3">
      <c r="A156" s="11" t="s">
        <v>161</v>
      </c>
      <c r="B156" s="11">
        <v>2000</v>
      </c>
      <c r="C156" s="11">
        <v>65.5</v>
      </c>
      <c r="D156" s="11">
        <v>32.4</v>
      </c>
      <c r="E156" s="11">
        <v>20</v>
      </c>
      <c r="F156" s="11">
        <v>14</v>
      </c>
      <c r="G156" s="11">
        <v>9</v>
      </c>
      <c r="H156" s="11">
        <v>1.05</v>
      </c>
      <c r="I156" s="11">
        <v>58</v>
      </c>
      <c r="J156" s="11">
        <v>41</v>
      </c>
      <c r="K156" s="11">
        <v>14</v>
      </c>
      <c r="L156" s="19">
        <f t="shared" si="6"/>
        <v>11.872673346189963</v>
      </c>
      <c r="M156" s="11">
        <v>20</v>
      </c>
      <c r="N156" s="19">
        <f t="shared" si="7"/>
        <v>13.121180579810146</v>
      </c>
      <c r="O156" s="11">
        <v>-2.25</v>
      </c>
      <c r="P156" s="11">
        <v>-0.83</v>
      </c>
      <c r="Q156" s="11">
        <v>1.5</v>
      </c>
      <c r="R156" s="11">
        <v>0.6</v>
      </c>
      <c r="S156" s="11">
        <v>0.09</v>
      </c>
      <c r="T156" s="11">
        <v>0.05</v>
      </c>
      <c r="U156" s="11">
        <v>0.3</v>
      </c>
      <c r="V156" s="11">
        <v>0.6</v>
      </c>
      <c r="W156" s="11">
        <v>33</v>
      </c>
      <c r="X156" s="11">
        <v>700</v>
      </c>
      <c r="Y156" s="12">
        <v>1.375</v>
      </c>
      <c r="Z156" s="12">
        <v>0</v>
      </c>
      <c r="AA156" s="12">
        <v>0.48651031900000002</v>
      </c>
      <c r="AB156" s="12">
        <v>8.395713872</v>
      </c>
      <c r="AC156" s="12">
        <v>0.43052382099999997</v>
      </c>
      <c r="AD156" s="12">
        <v>12.2905762</v>
      </c>
      <c r="AE156" s="12">
        <v>0.47828177300000002</v>
      </c>
      <c r="AF156" s="12">
        <v>13.98760506</v>
      </c>
      <c r="AG156" s="12">
        <v>0</v>
      </c>
      <c r="AH156" s="12">
        <v>18.11078964</v>
      </c>
    </row>
    <row r="157" spans="1:34" s="19" customFormat="1" x14ac:dyDescent="0.3">
      <c r="A157" s="19" t="s">
        <v>162</v>
      </c>
      <c r="B157" s="19">
        <v>4500</v>
      </c>
      <c r="C157" s="19">
        <v>75</v>
      </c>
      <c r="D157" s="19">
        <v>33</v>
      </c>
      <c r="E157" s="19">
        <v>20</v>
      </c>
      <c r="F157" s="19">
        <v>12.5</v>
      </c>
      <c r="G157" s="19">
        <v>7</v>
      </c>
      <c r="H157" s="19">
        <v>1</v>
      </c>
      <c r="I157" s="19">
        <v>45</v>
      </c>
      <c r="J157" s="19">
        <v>30</v>
      </c>
      <c r="K157" s="19">
        <v>15</v>
      </c>
      <c r="L157" s="19">
        <f t="shared" si="6"/>
        <v>10.606601717798211</v>
      </c>
      <c r="M157" s="19">
        <v>18.350000000000001</v>
      </c>
      <c r="N157" s="19">
        <f t="shared" si="7"/>
        <v>9.1749999999999989</v>
      </c>
      <c r="O157" s="19">
        <v>-2</v>
      </c>
      <c r="P157" s="19">
        <v>2</v>
      </c>
      <c r="Q157" s="19">
        <v>2</v>
      </c>
      <c r="R157" s="19">
        <v>0.8</v>
      </c>
      <c r="S157" s="19">
        <v>0.06</v>
      </c>
      <c r="T157" s="19">
        <v>0.06</v>
      </c>
      <c r="U157" s="19">
        <v>0.6</v>
      </c>
      <c r="V157" s="19">
        <v>0.3</v>
      </c>
      <c r="W157" s="19">
        <v>66</v>
      </c>
      <c r="X157" s="19">
        <v>10</v>
      </c>
      <c r="Y157" s="20">
        <v>5.9340000000000002</v>
      </c>
      <c r="Z157" s="20">
        <v>0</v>
      </c>
      <c r="AA157" s="20">
        <v>3.597</v>
      </c>
      <c r="AB157" s="20">
        <v>19.920000000000002</v>
      </c>
      <c r="AC157" s="20">
        <v>3.41</v>
      </c>
      <c r="AD157" s="20">
        <v>29.89</v>
      </c>
      <c r="AE157" s="20">
        <v>2.79</v>
      </c>
      <c r="AF157" s="20">
        <v>34.82</v>
      </c>
      <c r="AG157" s="20">
        <v>0</v>
      </c>
      <c r="AH157" s="20">
        <v>46.24</v>
      </c>
    </row>
    <row r="158" spans="1:34" s="19" customFormat="1" x14ac:dyDescent="0.3">
      <c r="A158" s="19" t="s">
        <v>162</v>
      </c>
      <c r="B158" s="19">
        <v>4000</v>
      </c>
      <c r="C158" s="19">
        <v>75</v>
      </c>
      <c r="D158" s="19">
        <v>33</v>
      </c>
      <c r="E158" s="19">
        <v>20</v>
      </c>
      <c r="F158" s="19">
        <v>12.5</v>
      </c>
      <c r="G158" s="19">
        <v>7</v>
      </c>
      <c r="H158" s="19">
        <v>1</v>
      </c>
      <c r="I158" s="19">
        <v>45</v>
      </c>
      <c r="J158" s="19">
        <v>30</v>
      </c>
      <c r="K158" s="19">
        <v>15</v>
      </c>
      <c r="L158" s="19">
        <f t="shared" si="6"/>
        <v>10.606601717798211</v>
      </c>
      <c r="M158" s="19">
        <v>18.350000000000001</v>
      </c>
      <c r="N158" s="19">
        <f t="shared" si="7"/>
        <v>9.1749999999999989</v>
      </c>
      <c r="O158" s="19">
        <v>-2</v>
      </c>
      <c r="P158" s="19">
        <v>2</v>
      </c>
      <c r="Q158" s="19">
        <v>2</v>
      </c>
      <c r="R158" s="19">
        <v>0.8</v>
      </c>
      <c r="S158" s="19">
        <v>0.06</v>
      </c>
      <c r="T158" s="19">
        <v>0.06</v>
      </c>
      <c r="U158" s="19">
        <v>0.6</v>
      </c>
      <c r="V158" s="19">
        <v>0.3</v>
      </c>
      <c r="W158" s="19">
        <v>66</v>
      </c>
      <c r="X158" s="19">
        <v>10</v>
      </c>
      <c r="Y158" s="20">
        <v>4.6885925930000001</v>
      </c>
      <c r="Z158" s="20">
        <v>0</v>
      </c>
      <c r="AA158" s="20">
        <v>2.8420740740000001</v>
      </c>
      <c r="AB158" s="20">
        <v>17.706666670000001</v>
      </c>
      <c r="AC158" s="20">
        <v>2.6943209879999999</v>
      </c>
      <c r="AD158" s="20">
        <v>26.56888889</v>
      </c>
      <c r="AE158" s="20">
        <v>2.2044444439999999</v>
      </c>
      <c r="AF158" s="20">
        <v>30.951111109999999</v>
      </c>
      <c r="AG158" s="20">
        <v>0</v>
      </c>
      <c r="AH158" s="20">
        <v>41.102222220000002</v>
      </c>
    </row>
    <row r="159" spans="1:34" s="19" customFormat="1" x14ac:dyDescent="0.3">
      <c r="A159" s="19" t="s">
        <v>163</v>
      </c>
      <c r="B159" s="19">
        <v>3500</v>
      </c>
      <c r="C159" s="19">
        <v>75</v>
      </c>
      <c r="D159" s="19">
        <v>33</v>
      </c>
      <c r="E159" s="19">
        <v>20</v>
      </c>
      <c r="F159" s="19">
        <v>12.5</v>
      </c>
      <c r="G159" s="19">
        <v>7</v>
      </c>
      <c r="H159" s="19">
        <v>1</v>
      </c>
      <c r="I159" s="19">
        <v>45</v>
      </c>
      <c r="J159" s="19">
        <v>30</v>
      </c>
      <c r="K159" s="19">
        <v>15</v>
      </c>
      <c r="L159" s="19">
        <f t="shared" si="6"/>
        <v>10.606601717798211</v>
      </c>
      <c r="M159" s="19">
        <v>18.350000000000001</v>
      </c>
      <c r="N159" s="19">
        <f t="shared" si="7"/>
        <v>9.1749999999999989</v>
      </c>
      <c r="O159" s="19">
        <v>-2</v>
      </c>
      <c r="P159" s="19">
        <v>2</v>
      </c>
      <c r="Q159" s="19">
        <v>2</v>
      </c>
      <c r="R159" s="19">
        <v>0.8</v>
      </c>
      <c r="S159" s="19">
        <v>0.06</v>
      </c>
      <c r="T159" s="19">
        <v>0.06</v>
      </c>
      <c r="U159" s="19">
        <v>0.6</v>
      </c>
      <c r="V159" s="19">
        <v>0.3</v>
      </c>
      <c r="W159" s="19">
        <v>66</v>
      </c>
      <c r="X159" s="19">
        <v>10</v>
      </c>
      <c r="Y159" s="20">
        <v>3.5897037040000002</v>
      </c>
      <c r="Z159" s="20">
        <v>0</v>
      </c>
      <c r="AA159" s="20">
        <v>2.1759629629999999</v>
      </c>
      <c r="AB159" s="20">
        <v>15.49333333</v>
      </c>
      <c r="AC159" s="20">
        <v>2.062839506</v>
      </c>
      <c r="AD159" s="20">
        <v>23.24777778</v>
      </c>
      <c r="AE159" s="20">
        <v>1.6877777780000001</v>
      </c>
      <c r="AF159" s="20">
        <v>27.082222219999998</v>
      </c>
      <c r="AG159" s="20">
        <v>0</v>
      </c>
      <c r="AH159" s="20">
        <v>35.964444440000001</v>
      </c>
    </row>
    <row r="160" spans="1:34" s="19" customFormat="1" x14ac:dyDescent="0.3">
      <c r="A160" s="19" t="s">
        <v>163</v>
      </c>
      <c r="B160" s="19">
        <v>3000</v>
      </c>
      <c r="C160" s="19">
        <v>75</v>
      </c>
      <c r="D160" s="19">
        <v>33</v>
      </c>
      <c r="E160" s="19">
        <v>20</v>
      </c>
      <c r="F160" s="19">
        <v>12.5</v>
      </c>
      <c r="G160" s="19">
        <v>7</v>
      </c>
      <c r="H160" s="19">
        <v>1</v>
      </c>
      <c r="I160" s="19">
        <v>45</v>
      </c>
      <c r="J160" s="19">
        <v>30</v>
      </c>
      <c r="K160" s="19">
        <v>15</v>
      </c>
      <c r="L160" s="19">
        <f t="shared" si="6"/>
        <v>10.606601717798211</v>
      </c>
      <c r="M160" s="19">
        <v>18.350000000000001</v>
      </c>
      <c r="N160" s="19">
        <f t="shared" si="7"/>
        <v>9.1749999999999989</v>
      </c>
      <c r="O160" s="19">
        <v>-2</v>
      </c>
      <c r="P160" s="19">
        <v>2</v>
      </c>
      <c r="Q160" s="19">
        <v>2</v>
      </c>
      <c r="R160" s="19">
        <v>0.8</v>
      </c>
      <c r="S160" s="19">
        <v>0.06</v>
      </c>
      <c r="T160" s="19">
        <v>0.06</v>
      </c>
      <c r="U160" s="19">
        <v>0.6</v>
      </c>
      <c r="V160" s="19">
        <v>0.3</v>
      </c>
      <c r="W160" s="19">
        <v>66</v>
      </c>
      <c r="X160" s="19">
        <v>10</v>
      </c>
      <c r="Y160" s="20">
        <v>2.6373333329999999</v>
      </c>
      <c r="Z160" s="20">
        <v>0</v>
      </c>
      <c r="AA160" s="20">
        <v>1.598666667</v>
      </c>
      <c r="AB160" s="20">
        <v>13.28</v>
      </c>
      <c r="AC160" s="20">
        <v>1.515555556</v>
      </c>
      <c r="AD160" s="20">
        <v>19.926666669999999</v>
      </c>
      <c r="AE160" s="20">
        <v>1.24</v>
      </c>
      <c r="AF160" s="20">
        <v>23.213333330000001</v>
      </c>
      <c r="AG160" s="20">
        <v>0</v>
      </c>
      <c r="AH160" s="20">
        <v>30.826666670000002</v>
      </c>
    </row>
    <row r="161" spans="1:34" s="19" customFormat="1" x14ac:dyDescent="0.3">
      <c r="A161" s="19" t="s">
        <v>163</v>
      </c>
      <c r="B161" s="19">
        <v>2500</v>
      </c>
      <c r="C161" s="19">
        <v>75</v>
      </c>
      <c r="D161" s="19">
        <v>33</v>
      </c>
      <c r="E161" s="19">
        <v>20</v>
      </c>
      <c r="F161" s="19">
        <v>12.5</v>
      </c>
      <c r="G161" s="19">
        <v>7</v>
      </c>
      <c r="H161" s="19">
        <v>1</v>
      </c>
      <c r="I161" s="19">
        <v>45</v>
      </c>
      <c r="J161" s="19">
        <v>30</v>
      </c>
      <c r="K161" s="19">
        <v>15</v>
      </c>
      <c r="L161" s="19">
        <f t="shared" si="6"/>
        <v>10.606601717798211</v>
      </c>
      <c r="M161" s="19">
        <v>18.350000000000001</v>
      </c>
      <c r="N161" s="19">
        <f t="shared" si="7"/>
        <v>9.1749999999999989</v>
      </c>
      <c r="O161" s="19">
        <v>-2</v>
      </c>
      <c r="P161" s="19">
        <v>2</v>
      </c>
      <c r="Q161" s="19">
        <v>2</v>
      </c>
      <c r="R161" s="19">
        <v>0.8</v>
      </c>
      <c r="S161" s="19">
        <v>0.06</v>
      </c>
      <c r="T161" s="19">
        <v>0.06</v>
      </c>
      <c r="U161" s="19">
        <v>0.6</v>
      </c>
      <c r="V161" s="19">
        <v>0.3</v>
      </c>
      <c r="W161" s="19">
        <v>66</v>
      </c>
      <c r="X161" s="19">
        <v>10</v>
      </c>
      <c r="Y161" s="20">
        <v>1.831481481</v>
      </c>
      <c r="Z161" s="20">
        <v>0</v>
      </c>
      <c r="AA161" s="20">
        <v>1.110185185</v>
      </c>
      <c r="AB161" s="20">
        <v>11.06666667</v>
      </c>
      <c r="AC161" s="20">
        <v>1.052469136</v>
      </c>
      <c r="AD161" s="20">
        <v>16.605555559999999</v>
      </c>
      <c r="AE161" s="20">
        <v>0.86111111100000004</v>
      </c>
      <c r="AF161" s="20">
        <v>19.34444444</v>
      </c>
      <c r="AG161" s="20">
        <v>0</v>
      </c>
      <c r="AH161" s="20">
        <v>25.688888890000001</v>
      </c>
    </row>
    <row r="162" spans="1:34" s="19" customFormat="1" x14ac:dyDescent="0.3">
      <c r="A162" s="19" t="s">
        <v>163</v>
      </c>
      <c r="B162" s="19">
        <v>2000</v>
      </c>
      <c r="C162" s="19">
        <v>75</v>
      </c>
      <c r="D162" s="19">
        <v>33</v>
      </c>
      <c r="E162" s="19">
        <v>20</v>
      </c>
      <c r="F162" s="19">
        <v>12.5</v>
      </c>
      <c r="G162" s="19">
        <v>7</v>
      </c>
      <c r="H162" s="19">
        <v>1</v>
      </c>
      <c r="I162" s="19">
        <v>45</v>
      </c>
      <c r="J162" s="19">
        <v>30</v>
      </c>
      <c r="K162" s="19">
        <v>15</v>
      </c>
      <c r="L162" s="19">
        <f t="shared" si="6"/>
        <v>10.606601717798211</v>
      </c>
      <c r="M162" s="19">
        <v>18.350000000000001</v>
      </c>
      <c r="N162" s="19">
        <f t="shared" si="7"/>
        <v>9.1749999999999989</v>
      </c>
      <c r="O162" s="19">
        <v>-2</v>
      </c>
      <c r="P162" s="19">
        <v>2</v>
      </c>
      <c r="Q162" s="19">
        <v>2</v>
      </c>
      <c r="R162" s="19">
        <v>0.8</v>
      </c>
      <c r="S162" s="19">
        <v>0.06</v>
      </c>
      <c r="T162" s="19">
        <v>0.06</v>
      </c>
      <c r="U162" s="19">
        <v>0.6</v>
      </c>
      <c r="V162" s="19">
        <v>0.3</v>
      </c>
      <c r="W162" s="19">
        <v>66</v>
      </c>
      <c r="X162" s="19">
        <v>10</v>
      </c>
      <c r="Y162" s="20">
        <v>1.172148148</v>
      </c>
      <c r="Z162" s="20">
        <v>0</v>
      </c>
      <c r="AA162" s="20">
        <v>0.71051851899999996</v>
      </c>
      <c r="AB162" s="20">
        <v>8.8533333330000001</v>
      </c>
      <c r="AC162" s="20">
        <v>0.67358024699999997</v>
      </c>
      <c r="AD162" s="20">
        <v>13.28444444</v>
      </c>
      <c r="AE162" s="20">
        <v>0.55111111099999999</v>
      </c>
      <c r="AF162" s="20">
        <v>15.47555556</v>
      </c>
      <c r="AG162" s="20">
        <v>0</v>
      </c>
      <c r="AH162" s="20">
        <v>20.551111110000001</v>
      </c>
    </row>
    <row r="163" spans="1:34" s="19" customFormat="1" x14ac:dyDescent="0.3">
      <c r="A163" s="19" t="s">
        <v>164</v>
      </c>
      <c r="B163" s="19">
        <v>4500</v>
      </c>
      <c r="C163" s="19">
        <v>75</v>
      </c>
      <c r="D163" s="19">
        <v>33</v>
      </c>
      <c r="E163" s="19">
        <v>20</v>
      </c>
      <c r="F163" s="19">
        <v>12.5</v>
      </c>
      <c r="G163" s="19">
        <v>9</v>
      </c>
      <c r="H163" s="19">
        <v>1</v>
      </c>
      <c r="I163" s="19">
        <v>50</v>
      </c>
      <c r="J163" s="19">
        <v>29</v>
      </c>
      <c r="K163" s="19">
        <v>13.71</v>
      </c>
      <c r="L163" s="19">
        <f t="shared" si="6"/>
        <v>10.502469315161189</v>
      </c>
      <c r="M163" s="19">
        <v>21.65</v>
      </c>
      <c r="N163" s="19">
        <f t="shared" si="7"/>
        <v>10.496128278333197</v>
      </c>
      <c r="O163" s="19">
        <v>-2</v>
      </c>
      <c r="P163" s="19">
        <v>2</v>
      </c>
      <c r="Q163" s="19">
        <v>2</v>
      </c>
      <c r="R163" s="19">
        <v>0.8</v>
      </c>
      <c r="S163" s="19">
        <v>0.06</v>
      </c>
      <c r="T163" s="19">
        <v>0.06</v>
      </c>
      <c r="U163" s="19">
        <v>0.6</v>
      </c>
      <c r="V163" s="19">
        <v>0.3</v>
      </c>
      <c r="W163" s="19">
        <v>66</v>
      </c>
      <c r="X163" s="19">
        <v>10</v>
      </c>
      <c r="Y163" s="20">
        <v>6.5</v>
      </c>
      <c r="Z163" s="20">
        <v>0</v>
      </c>
      <c r="AA163" s="20">
        <v>3.8090000000000002</v>
      </c>
      <c r="AB163" s="20">
        <v>19.96</v>
      </c>
      <c r="AC163" s="20">
        <v>3.79</v>
      </c>
      <c r="AD163" s="20">
        <v>29.93</v>
      </c>
      <c r="AE163" s="20">
        <v>3.22</v>
      </c>
      <c r="AF163" s="20">
        <v>34.99</v>
      </c>
      <c r="AG163" s="20">
        <v>0</v>
      </c>
      <c r="AH163" s="20">
        <v>49.99</v>
      </c>
    </row>
    <row r="164" spans="1:34" s="19" customFormat="1" x14ac:dyDescent="0.3">
      <c r="A164" s="19" t="s">
        <v>164</v>
      </c>
      <c r="B164" s="19">
        <v>4000</v>
      </c>
      <c r="C164" s="19">
        <v>75</v>
      </c>
      <c r="D164" s="19">
        <v>33</v>
      </c>
      <c r="E164" s="19">
        <v>20</v>
      </c>
      <c r="F164" s="19">
        <v>12.5</v>
      </c>
      <c r="G164" s="19">
        <v>9</v>
      </c>
      <c r="H164" s="19">
        <v>1</v>
      </c>
      <c r="I164" s="19">
        <v>50</v>
      </c>
      <c r="J164" s="19">
        <v>29</v>
      </c>
      <c r="K164" s="19">
        <v>13.71</v>
      </c>
      <c r="L164" s="19">
        <f t="shared" si="6"/>
        <v>10.502469315161189</v>
      </c>
      <c r="M164" s="19">
        <v>21.65</v>
      </c>
      <c r="N164" s="19">
        <f t="shared" si="7"/>
        <v>10.496128278333197</v>
      </c>
      <c r="O164" s="19">
        <v>-2</v>
      </c>
      <c r="P164" s="19">
        <v>2</v>
      </c>
      <c r="Q164" s="19">
        <v>2</v>
      </c>
      <c r="R164" s="19">
        <v>0.8</v>
      </c>
      <c r="S164" s="19">
        <v>0.06</v>
      </c>
      <c r="T164" s="19">
        <v>0.06</v>
      </c>
      <c r="U164" s="19">
        <v>0.6</v>
      </c>
      <c r="V164" s="19">
        <v>0.3</v>
      </c>
      <c r="W164" s="19">
        <v>66</v>
      </c>
      <c r="X164" s="19">
        <v>10</v>
      </c>
      <c r="Y164" s="20">
        <v>5.1358024689999997</v>
      </c>
      <c r="Z164" s="20">
        <v>0</v>
      </c>
      <c r="AA164" s="20">
        <v>3.0095802470000002</v>
      </c>
      <c r="AB164" s="20">
        <v>17.742222219999999</v>
      </c>
      <c r="AC164" s="20">
        <v>2.9945679009999999</v>
      </c>
      <c r="AD164" s="20">
        <v>26.604444440000002</v>
      </c>
      <c r="AE164" s="20">
        <v>2.544197531</v>
      </c>
      <c r="AF164" s="20">
        <v>31.102222220000002</v>
      </c>
      <c r="AG164" s="20">
        <v>0</v>
      </c>
      <c r="AH164" s="20">
        <v>44.435555559999997</v>
      </c>
    </row>
    <row r="165" spans="1:34" s="19" customFormat="1" x14ac:dyDescent="0.3">
      <c r="A165" s="19" t="s">
        <v>165</v>
      </c>
      <c r="B165" s="19">
        <v>3500</v>
      </c>
      <c r="C165" s="19">
        <v>75</v>
      </c>
      <c r="D165" s="19">
        <v>33</v>
      </c>
      <c r="E165" s="19">
        <v>20</v>
      </c>
      <c r="F165" s="19">
        <v>12.5</v>
      </c>
      <c r="G165" s="19">
        <v>9</v>
      </c>
      <c r="H165" s="19">
        <v>1</v>
      </c>
      <c r="I165" s="19">
        <v>50</v>
      </c>
      <c r="J165" s="19">
        <v>29</v>
      </c>
      <c r="K165" s="19">
        <v>13.71</v>
      </c>
      <c r="L165" s="19">
        <f t="shared" si="6"/>
        <v>10.502469315161189</v>
      </c>
      <c r="M165" s="19">
        <v>21.65</v>
      </c>
      <c r="N165" s="19">
        <f t="shared" si="7"/>
        <v>10.496128278333197</v>
      </c>
      <c r="O165" s="19">
        <v>-2</v>
      </c>
      <c r="P165" s="19">
        <v>2</v>
      </c>
      <c r="Q165" s="19">
        <v>2</v>
      </c>
      <c r="R165" s="19">
        <v>0.8</v>
      </c>
      <c r="S165" s="19">
        <v>0.06</v>
      </c>
      <c r="T165" s="19">
        <v>0.06</v>
      </c>
      <c r="U165" s="19">
        <v>0.6</v>
      </c>
      <c r="V165" s="19">
        <v>0.3</v>
      </c>
      <c r="W165" s="19">
        <v>66</v>
      </c>
      <c r="X165" s="19">
        <v>10</v>
      </c>
      <c r="Y165" s="20">
        <v>3.9320987650000001</v>
      </c>
      <c r="Z165" s="20">
        <v>0</v>
      </c>
      <c r="AA165" s="20">
        <v>2.3042098769999999</v>
      </c>
      <c r="AB165" s="20">
        <v>15.52444444</v>
      </c>
      <c r="AC165" s="20">
        <v>2.292716049</v>
      </c>
      <c r="AD165" s="20">
        <v>23.278888890000001</v>
      </c>
      <c r="AE165" s="20">
        <v>1.947901235</v>
      </c>
      <c r="AF165" s="20">
        <v>27.214444440000001</v>
      </c>
      <c r="AG165" s="20">
        <v>0</v>
      </c>
      <c r="AH165" s="20">
        <v>38.881111109999999</v>
      </c>
    </row>
    <row r="166" spans="1:34" s="19" customFormat="1" x14ac:dyDescent="0.3">
      <c r="A166" s="19" t="s">
        <v>165</v>
      </c>
      <c r="B166" s="19">
        <v>3000</v>
      </c>
      <c r="C166" s="19">
        <v>75</v>
      </c>
      <c r="D166" s="19">
        <v>33</v>
      </c>
      <c r="E166" s="19">
        <v>20</v>
      </c>
      <c r="F166" s="19">
        <v>12.5</v>
      </c>
      <c r="G166" s="19">
        <v>9</v>
      </c>
      <c r="H166" s="19">
        <v>1</v>
      </c>
      <c r="I166" s="19">
        <v>50</v>
      </c>
      <c r="J166" s="19">
        <v>29</v>
      </c>
      <c r="K166" s="19">
        <v>13.71</v>
      </c>
      <c r="L166" s="19">
        <f t="shared" si="6"/>
        <v>10.502469315161189</v>
      </c>
      <c r="M166" s="19">
        <v>21.65</v>
      </c>
      <c r="N166" s="19">
        <f t="shared" si="7"/>
        <v>10.496128278333197</v>
      </c>
      <c r="O166" s="19">
        <v>-2</v>
      </c>
      <c r="P166" s="19">
        <v>2</v>
      </c>
      <c r="Q166" s="19">
        <v>2</v>
      </c>
      <c r="R166" s="19">
        <v>0.8</v>
      </c>
      <c r="S166" s="19">
        <v>0.06</v>
      </c>
      <c r="T166" s="19">
        <v>0.06</v>
      </c>
      <c r="U166" s="19">
        <v>0.6</v>
      </c>
      <c r="V166" s="19">
        <v>0.3</v>
      </c>
      <c r="W166" s="19">
        <v>66</v>
      </c>
      <c r="X166" s="19">
        <v>10</v>
      </c>
      <c r="Y166" s="20">
        <v>2.888888889</v>
      </c>
      <c r="Z166" s="20">
        <v>0</v>
      </c>
      <c r="AA166" s="20">
        <v>1.692888889</v>
      </c>
      <c r="AB166" s="20">
        <v>13.30666667</v>
      </c>
      <c r="AC166" s="20">
        <v>1.6844444439999999</v>
      </c>
      <c r="AD166" s="20">
        <v>19.95333333</v>
      </c>
      <c r="AE166" s="20">
        <v>1.4311111110000001</v>
      </c>
      <c r="AF166" s="20">
        <v>23.326666670000002</v>
      </c>
      <c r="AG166" s="20">
        <v>0</v>
      </c>
      <c r="AH166" s="20">
        <v>33.326666670000002</v>
      </c>
    </row>
    <row r="167" spans="1:34" s="19" customFormat="1" x14ac:dyDescent="0.3">
      <c r="A167" s="19" t="s">
        <v>165</v>
      </c>
      <c r="B167" s="19">
        <v>2500</v>
      </c>
      <c r="C167" s="19">
        <v>75</v>
      </c>
      <c r="D167" s="19">
        <v>33</v>
      </c>
      <c r="E167" s="19">
        <v>20</v>
      </c>
      <c r="F167" s="19">
        <v>12.5</v>
      </c>
      <c r="G167" s="19">
        <v>9</v>
      </c>
      <c r="H167" s="19">
        <v>1</v>
      </c>
      <c r="I167" s="19">
        <v>50</v>
      </c>
      <c r="J167" s="19">
        <v>29</v>
      </c>
      <c r="K167" s="19">
        <v>13.71</v>
      </c>
      <c r="L167" s="19">
        <f t="shared" si="6"/>
        <v>10.502469315161189</v>
      </c>
      <c r="M167" s="19">
        <v>21.65</v>
      </c>
      <c r="N167" s="19">
        <f t="shared" si="7"/>
        <v>10.496128278333197</v>
      </c>
      <c r="O167" s="19">
        <v>-2</v>
      </c>
      <c r="P167" s="19">
        <v>2</v>
      </c>
      <c r="Q167" s="19">
        <v>2</v>
      </c>
      <c r="R167" s="19">
        <v>0.8</v>
      </c>
      <c r="S167" s="19">
        <v>0.06</v>
      </c>
      <c r="T167" s="19">
        <v>0.06</v>
      </c>
      <c r="U167" s="19">
        <v>0.6</v>
      </c>
      <c r="V167" s="19">
        <v>0.3</v>
      </c>
      <c r="W167" s="19">
        <v>66</v>
      </c>
      <c r="X167" s="19">
        <v>10</v>
      </c>
      <c r="Y167" s="20">
        <v>2.0061728400000001</v>
      </c>
      <c r="Z167" s="20">
        <v>0</v>
      </c>
      <c r="AA167" s="20">
        <v>1.1756172840000001</v>
      </c>
      <c r="AB167" s="20">
        <v>11.08888889</v>
      </c>
      <c r="AC167" s="20">
        <v>1.1697530860000001</v>
      </c>
      <c r="AD167" s="20">
        <v>16.627777779999999</v>
      </c>
      <c r="AE167" s="20">
        <v>0.99382716000000004</v>
      </c>
      <c r="AF167" s="20">
        <v>19.438888890000001</v>
      </c>
      <c r="AG167" s="20">
        <v>0</v>
      </c>
      <c r="AH167" s="20">
        <v>27.77222222</v>
      </c>
    </row>
    <row r="168" spans="1:34" s="19" customFormat="1" x14ac:dyDescent="0.3">
      <c r="A168" s="19" t="s">
        <v>165</v>
      </c>
      <c r="B168" s="19">
        <v>2000</v>
      </c>
      <c r="C168" s="19">
        <v>75</v>
      </c>
      <c r="D168" s="19">
        <v>33</v>
      </c>
      <c r="E168" s="19">
        <v>20</v>
      </c>
      <c r="F168" s="19">
        <v>12.5</v>
      </c>
      <c r="G168" s="19">
        <v>9</v>
      </c>
      <c r="H168" s="19">
        <v>1</v>
      </c>
      <c r="I168" s="19">
        <v>50</v>
      </c>
      <c r="J168" s="19">
        <v>29</v>
      </c>
      <c r="K168" s="19">
        <v>13.71</v>
      </c>
      <c r="L168" s="19">
        <f t="shared" si="6"/>
        <v>10.502469315161189</v>
      </c>
      <c r="M168" s="19">
        <v>21.65</v>
      </c>
      <c r="N168" s="19">
        <f t="shared" si="7"/>
        <v>10.496128278333197</v>
      </c>
      <c r="O168" s="19">
        <v>-2</v>
      </c>
      <c r="P168" s="19">
        <v>2</v>
      </c>
      <c r="Q168" s="19">
        <v>2</v>
      </c>
      <c r="R168" s="19">
        <v>0.8</v>
      </c>
      <c r="S168" s="19">
        <v>0.06</v>
      </c>
      <c r="T168" s="19">
        <v>0.06</v>
      </c>
      <c r="U168" s="19">
        <v>0.6</v>
      </c>
      <c r="V168" s="19">
        <v>0.3</v>
      </c>
      <c r="W168" s="19">
        <v>66</v>
      </c>
      <c r="X168" s="19">
        <v>10</v>
      </c>
      <c r="Y168" s="20">
        <v>1.2839506169999999</v>
      </c>
      <c r="Z168" s="20">
        <v>0</v>
      </c>
      <c r="AA168" s="20">
        <v>0.75239506199999995</v>
      </c>
      <c r="AB168" s="20">
        <v>8.8711111109999994</v>
      </c>
      <c r="AC168" s="20">
        <v>0.74864197499999996</v>
      </c>
      <c r="AD168" s="20">
        <v>13.302222220000001</v>
      </c>
      <c r="AE168" s="20">
        <v>0.63604938300000002</v>
      </c>
      <c r="AF168" s="20">
        <v>15.551111110000001</v>
      </c>
      <c r="AG168" s="20">
        <v>0</v>
      </c>
      <c r="AH168" s="20">
        <v>22.217777779999999</v>
      </c>
    </row>
    <row r="169" spans="1:34" s="19" customFormat="1" x14ac:dyDescent="0.3">
      <c r="A169" s="19" t="s">
        <v>166</v>
      </c>
      <c r="B169" s="19">
        <v>4500</v>
      </c>
      <c r="C169" s="19">
        <v>75</v>
      </c>
      <c r="D169" s="19">
        <v>33</v>
      </c>
      <c r="E169" s="19">
        <v>20</v>
      </c>
      <c r="F169" s="19">
        <v>12.5</v>
      </c>
      <c r="G169" s="19">
        <v>7</v>
      </c>
      <c r="H169" s="19">
        <v>1</v>
      </c>
      <c r="I169" s="19">
        <v>45</v>
      </c>
      <c r="J169" s="19">
        <v>30</v>
      </c>
      <c r="K169" s="19">
        <v>15</v>
      </c>
      <c r="L169" s="19">
        <f t="shared" si="6"/>
        <v>10.606601717798211</v>
      </c>
      <c r="M169" s="19">
        <v>24.2</v>
      </c>
      <c r="N169" s="19">
        <f t="shared" si="7"/>
        <v>12.099999999999998</v>
      </c>
      <c r="O169" s="19">
        <v>-2</v>
      </c>
      <c r="P169" s="19">
        <v>2</v>
      </c>
      <c r="Q169" s="19">
        <v>2</v>
      </c>
      <c r="R169" s="19">
        <v>0.8</v>
      </c>
      <c r="S169" s="19">
        <v>0.06</v>
      </c>
      <c r="T169" s="19">
        <v>0.06</v>
      </c>
      <c r="U169" s="19">
        <v>0.6</v>
      </c>
      <c r="V169" s="19">
        <v>0.3</v>
      </c>
      <c r="W169" s="19">
        <v>40</v>
      </c>
      <c r="X169" s="19">
        <v>10</v>
      </c>
      <c r="Y169" s="20">
        <v>7.84</v>
      </c>
      <c r="Z169" s="20">
        <v>0</v>
      </c>
      <c r="AA169" s="20">
        <v>4.3040000000000003</v>
      </c>
      <c r="AB169" s="20">
        <v>19.989999999999998</v>
      </c>
      <c r="AC169" s="20">
        <v>4.327</v>
      </c>
      <c r="AD169" s="20">
        <v>29.94</v>
      </c>
      <c r="AE169" s="20">
        <v>3.57</v>
      </c>
      <c r="AF169" s="20">
        <v>34.89</v>
      </c>
      <c r="AG169" s="20">
        <v>0</v>
      </c>
      <c r="AH169" s="20">
        <v>46</v>
      </c>
    </row>
    <row r="170" spans="1:34" s="19" customFormat="1" x14ac:dyDescent="0.3">
      <c r="A170" s="19" t="s">
        <v>166</v>
      </c>
      <c r="B170" s="19">
        <v>4000</v>
      </c>
      <c r="C170" s="19">
        <v>75</v>
      </c>
      <c r="D170" s="19">
        <v>33</v>
      </c>
      <c r="E170" s="19">
        <v>20</v>
      </c>
      <c r="F170" s="19">
        <v>12.5</v>
      </c>
      <c r="G170" s="19">
        <v>7</v>
      </c>
      <c r="H170" s="19">
        <v>1</v>
      </c>
      <c r="I170" s="19">
        <v>45</v>
      </c>
      <c r="J170" s="19">
        <v>30</v>
      </c>
      <c r="K170" s="19">
        <v>15</v>
      </c>
      <c r="L170" s="19">
        <f t="shared" si="6"/>
        <v>10.606601717798211</v>
      </c>
      <c r="M170" s="19">
        <v>24.2</v>
      </c>
      <c r="N170" s="19">
        <f t="shared" si="7"/>
        <v>12.099999999999998</v>
      </c>
      <c r="O170" s="19">
        <v>-2</v>
      </c>
      <c r="P170" s="19">
        <v>2</v>
      </c>
      <c r="Q170" s="19">
        <v>2</v>
      </c>
      <c r="R170" s="19">
        <v>0.8</v>
      </c>
      <c r="S170" s="19">
        <v>0.06</v>
      </c>
      <c r="T170" s="19">
        <v>0.06</v>
      </c>
      <c r="U170" s="19">
        <v>0.6</v>
      </c>
      <c r="V170" s="19">
        <v>0.3</v>
      </c>
      <c r="W170" s="19">
        <v>40</v>
      </c>
      <c r="X170" s="19">
        <v>10</v>
      </c>
      <c r="Y170" s="20">
        <v>6.1945679010000001</v>
      </c>
      <c r="Z170" s="20">
        <v>0</v>
      </c>
      <c r="AA170" s="20">
        <v>3.400691358</v>
      </c>
      <c r="AB170" s="20">
        <v>17.768888889999999</v>
      </c>
      <c r="AC170" s="20">
        <v>3.4188641980000001</v>
      </c>
      <c r="AD170" s="20">
        <v>26.61333333</v>
      </c>
      <c r="AE170" s="20">
        <v>2.8207407409999998</v>
      </c>
      <c r="AF170" s="20">
        <v>31.013333329999998</v>
      </c>
      <c r="AG170" s="20">
        <v>0</v>
      </c>
      <c r="AH170" s="20">
        <v>40.888888889999997</v>
      </c>
    </row>
    <row r="171" spans="1:34" s="19" customFormat="1" x14ac:dyDescent="0.3">
      <c r="A171" s="19" t="s">
        <v>166</v>
      </c>
      <c r="B171" s="19">
        <v>3500</v>
      </c>
      <c r="C171" s="19">
        <v>75</v>
      </c>
      <c r="D171" s="19">
        <v>33</v>
      </c>
      <c r="E171" s="19">
        <v>20</v>
      </c>
      <c r="F171" s="19">
        <v>12.5</v>
      </c>
      <c r="G171" s="19">
        <v>7</v>
      </c>
      <c r="H171" s="19">
        <v>1</v>
      </c>
      <c r="I171" s="19">
        <v>45</v>
      </c>
      <c r="J171" s="19">
        <v>30</v>
      </c>
      <c r="K171" s="19">
        <v>15</v>
      </c>
      <c r="L171" s="19">
        <f t="shared" si="6"/>
        <v>10.606601717798211</v>
      </c>
      <c r="M171" s="19">
        <v>24.2</v>
      </c>
      <c r="N171" s="19">
        <f t="shared" si="7"/>
        <v>12.099999999999998</v>
      </c>
      <c r="O171" s="19">
        <v>-2</v>
      </c>
      <c r="P171" s="19">
        <v>2</v>
      </c>
      <c r="Q171" s="19">
        <v>2</v>
      </c>
      <c r="R171" s="19">
        <v>0.8</v>
      </c>
      <c r="S171" s="19">
        <v>0.06</v>
      </c>
      <c r="T171" s="19">
        <v>0.06</v>
      </c>
      <c r="U171" s="19">
        <v>0.6</v>
      </c>
      <c r="V171" s="19">
        <v>0.3</v>
      </c>
      <c r="W171" s="19">
        <v>40</v>
      </c>
      <c r="X171" s="19">
        <v>10</v>
      </c>
      <c r="Y171" s="20">
        <v>4.7427160490000002</v>
      </c>
      <c r="Z171" s="20">
        <v>0</v>
      </c>
      <c r="AA171" s="20">
        <v>2.603654321</v>
      </c>
      <c r="AB171" s="20">
        <v>15.547777780000001</v>
      </c>
      <c r="AC171" s="20">
        <v>2.6175679010000001</v>
      </c>
      <c r="AD171" s="20">
        <v>23.286666669999999</v>
      </c>
      <c r="AE171" s="20">
        <v>2.15962963</v>
      </c>
      <c r="AF171" s="20">
        <v>27.13666667</v>
      </c>
      <c r="AG171" s="20">
        <v>0</v>
      </c>
      <c r="AH171" s="20">
        <v>35.777777780000001</v>
      </c>
    </row>
    <row r="172" spans="1:34" s="19" customFormat="1" x14ac:dyDescent="0.3">
      <c r="A172" s="19" t="s">
        <v>167</v>
      </c>
      <c r="B172" s="19">
        <v>3000</v>
      </c>
      <c r="C172" s="19">
        <v>75</v>
      </c>
      <c r="D172" s="19">
        <v>33</v>
      </c>
      <c r="E172" s="19">
        <v>20</v>
      </c>
      <c r="F172" s="19">
        <v>12.5</v>
      </c>
      <c r="G172" s="19">
        <v>7</v>
      </c>
      <c r="H172" s="19">
        <v>1</v>
      </c>
      <c r="I172" s="19">
        <v>45</v>
      </c>
      <c r="J172" s="19">
        <v>30</v>
      </c>
      <c r="K172" s="19">
        <v>15</v>
      </c>
      <c r="L172" s="19">
        <f t="shared" si="6"/>
        <v>10.606601717798211</v>
      </c>
      <c r="M172" s="19">
        <v>24.2</v>
      </c>
      <c r="N172" s="19">
        <f t="shared" si="7"/>
        <v>12.099999999999998</v>
      </c>
      <c r="O172" s="19">
        <v>-2</v>
      </c>
      <c r="P172" s="19">
        <v>2</v>
      </c>
      <c r="Q172" s="19">
        <v>2</v>
      </c>
      <c r="R172" s="19">
        <v>0.8</v>
      </c>
      <c r="S172" s="19">
        <v>0.06</v>
      </c>
      <c r="T172" s="19">
        <v>0.06</v>
      </c>
      <c r="U172" s="19">
        <v>0.6</v>
      </c>
      <c r="V172" s="19">
        <v>0.3</v>
      </c>
      <c r="W172" s="19">
        <v>40</v>
      </c>
      <c r="X172" s="19">
        <v>10</v>
      </c>
      <c r="Y172" s="20">
        <v>3.4844444440000002</v>
      </c>
      <c r="Z172" s="20">
        <v>0</v>
      </c>
      <c r="AA172" s="20">
        <v>1.912888889</v>
      </c>
      <c r="AB172" s="20">
        <v>13.32666667</v>
      </c>
      <c r="AC172" s="20">
        <v>1.9231111110000001</v>
      </c>
      <c r="AD172" s="20">
        <v>19.96</v>
      </c>
      <c r="AE172" s="20">
        <v>1.586666667</v>
      </c>
      <c r="AF172" s="20">
        <v>23.26</v>
      </c>
      <c r="AG172" s="20">
        <v>0</v>
      </c>
      <c r="AH172" s="20">
        <v>30.666666670000001</v>
      </c>
    </row>
    <row r="173" spans="1:34" s="19" customFormat="1" x14ac:dyDescent="0.3">
      <c r="A173" s="19" t="s">
        <v>167</v>
      </c>
      <c r="B173" s="19">
        <v>2500</v>
      </c>
      <c r="C173" s="19">
        <v>75</v>
      </c>
      <c r="D173" s="19">
        <v>33</v>
      </c>
      <c r="E173" s="19">
        <v>20</v>
      </c>
      <c r="F173" s="19">
        <v>12.5</v>
      </c>
      <c r="G173" s="19">
        <v>7</v>
      </c>
      <c r="H173" s="19">
        <v>1</v>
      </c>
      <c r="I173" s="19">
        <v>45</v>
      </c>
      <c r="J173" s="19">
        <v>30</v>
      </c>
      <c r="K173" s="19">
        <v>15</v>
      </c>
      <c r="L173" s="19">
        <f t="shared" si="6"/>
        <v>10.606601717798211</v>
      </c>
      <c r="M173" s="19">
        <v>24.2</v>
      </c>
      <c r="N173" s="19">
        <f t="shared" si="7"/>
        <v>12.099999999999998</v>
      </c>
      <c r="O173" s="19">
        <v>-2</v>
      </c>
      <c r="P173" s="19">
        <v>2</v>
      </c>
      <c r="Q173" s="19">
        <v>2</v>
      </c>
      <c r="R173" s="19">
        <v>0.8</v>
      </c>
      <c r="S173" s="19">
        <v>0.06</v>
      </c>
      <c r="T173" s="19">
        <v>0.06</v>
      </c>
      <c r="U173" s="19">
        <v>0.6</v>
      </c>
      <c r="V173" s="19">
        <v>0.3</v>
      </c>
      <c r="W173" s="19">
        <v>40</v>
      </c>
      <c r="X173" s="19">
        <v>10</v>
      </c>
      <c r="Y173" s="20">
        <v>2.4197530860000001</v>
      </c>
      <c r="Z173" s="20">
        <v>0</v>
      </c>
      <c r="AA173" s="20">
        <v>1.328395062</v>
      </c>
      <c r="AB173" s="20">
        <v>11.105555560000001</v>
      </c>
      <c r="AC173" s="20">
        <v>1.3354938270000001</v>
      </c>
      <c r="AD173" s="20">
        <v>16.633333329999999</v>
      </c>
      <c r="AE173" s="20">
        <v>1.101851852</v>
      </c>
      <c r="AF173" s="20">
        <v>19.383333329999999</v>
      </c>
      <c r="AG173" s="20">
        <v>0</v>
      </c>
      <c r="AH173" s="20">
        <v>25.555555559999998</v>
      </c>
    </row>
    <row r="174" spans="1:34" s="19" customFormat="1" x14ac:dyDescent="0.3">
      <c r="A174" s="19" t="s">
        <v>64</v>
      </c>
      <c r="B174" s="19">
        <v>2000</v>
      </c>
      <c r="C174" s="19">
        <v>75</v>
      </c>
      <c r="D174" s="19">
        <v>33</v>
      </c>
      <c r="E174" s="19">
        <v>20</v>
      </c>
      <c r="F174" s="19">
        <v>12.5</v>
      </c>
      <c r="G174" s="19">
        <v>7</v>
      </c>
      <c r="H174" s="19">
        <v>1</v>
      </c>
      <c r="I174" s="19">
        <v>45</v>
      </c>
      <c r="J174" s="19">
        <v>30</v>
      </c>
      <c r="K174" s="19">
        <v>15</v>
      </c>
      <c r="L174" s="19">
        <f t="shared" si="6"/>
        <v>10.606601717798211</v>
      </c>
      <c r="M174" s="19">
        <v>24.2</v>
      </c>
      <c r="N174" s="19">
        <f t="shared" si="7"/>
        <v>12.099999999999998</v>
      </c>
      <c r="O174" s="19">
        <v>-2</v>
      </c>
      <c r="P174" s="19">
        <v>2</v>
      </c>
      <c r="Q174" s="19">
        <v>2</v>
      </c>
      <c r="R174" s="19">
        <v>0.8</v>
      </c>
      <c r="S174" s="19">
        <v>0.06</v>
      </c>
      <c r="T174" s="19">
        <v>0.06</v>
      </c>
      <c r="U174" s="19">
        <v>0.6</v>
      </c>
      <c r="V174" s="19">
        <v>0.3</v>
      </c>
      <c r="W174" s="19">
        <v>40</v>
      </c>
      <c r="X174" s="19">
        <v>10</v>
      </c>
      <c r="Y174" s="20">
        <v>1.548641975</v>
      </c>
      <c r="Z174" s="20">
        <v>0</v>
      </c>
      <c r="AA174" s="20">
        <v>0.85017284000000004</v>
      </c>
      <c r="AB174" s="20">
        <v>8.8844444439999997</v>
      </c>
      <c r="AC174" s="20">
        <v>0.85471604899999998</v>
      </c>
      <c r="AD174" s="20">
        <v>13.30666667</v>
      </c>
      <c r="AE174" s="20">
        <v>0.70518518500000005</v>
      </c>
      <c r="AF174" s="20">
        <v>15.50666667</v>
      </c>
      <c r="AG174" s="20">
        <v>0</v>
      </c>
      <c r="AH174" s="20">
        <v>20.444444440000002</v>
      </c>
    </row>
    <row r="175" spans="1:34" s="19" customFormat="1" x14ac:dyDescent="0.3">
      <c r="A175" s="19" t="s">
        <v>168</v>
      </c>
      <c r="B175" s="19">
        <v>4500</v>
      </c>
      <c r="C175" s="19">
        <v>75</v>
      </c>
      <c r="D175" s="19">
        <v>28.88</v>
      </c>
      <c r="E175" s="19">
        <v>20</v>
      </c>
      <c r="F175" s="19">
        <v>12.5</v>
      </c>
      <c r="G175" s="19">
        <v>9</v>
      </c>
      <c r="H175" s="19">
        <v>1</v>
      </c>
      <c r="I175" s="19">
        <v>50</v>
      </c>
      <c r="J175" s="19">
        <v>29</v>
      </c>
      <c r="K175" s="19">
        <v>15</v>
      </c>
      <c r="L175" s="19">
        <f t="shared" si="6"/>
        <v>11.490666646784669</v>
      </c>
      <c r="M175" s="19">
        <v>18.350000000000001</v>
      </c>
      <c r="N175" s="19">
        <f t="shared" si="7"/>
        <v>8.8962565315202848</v>
      </c>
      <c r="O175" s="19">
        <v>-1</v>
      </c>
      <c r="P175" s="19">
        <v>3</v>
      </c>
      <c r="Q175" s="19">
        <v>2</v>
      </c>
      <c r="R175" s="19">
        <v>0.8</v>
      </c>
      <c r="S175" s="19">
        <v>0.06</v>
      </c>
      <c r="T175" s="19">
        <v>0.06</v>
      </c>
      <c r="U175" s="19">
        <v>0.6</v>
      </c>
      <c r="V175" s="19">
        <v>0.3</v>
      </c>
      <c r="W175" s="19">
        <v>66</v>
      </c>
      <c r="X175" s="19">
        <v>10</v>
      </c>
      <c r="Y175" s="20">
        <v>5.8</v>
      </c>
      <c r="Z175" s="20">
        <v>0</v>
      </c>
      <c r="AA175" s="20">
        <v>3.248402376</v>
      </c>
      <c r="AB175" s="20">
        <v>27.612336060000001</v>
      </c>
      <c r="AC175" s="20">
        <v>3.3409171529999999</v>
      </c>
      <c r="AD175" s="20">
        <v>33.268888769999997</v>
      </c>
      <c r="AE175" s="20">
        <v>2.866296256</v>
      </c>
      <c r="AF175" s="20">
        <v>40.344192929999998</v>
      </c>
      <c r="AG175" s="20">
        <v>0</v>
      </c>
      <c r="AH175" s="20">
        <v>52.596958129999997</v>
      </c>
    </row>
    <row r="176" spans="1:34" s="19" customFormat="1" x14ac:dyDescent="0.3">
      <c r="A176" s="19" t="s">
        <v>168</v>
      </c>
      <c r="B176" s="19">
        <v>4000</v>
      </c>
      <c r="C176" s="19">
        <v>75</v>
      </c>
      <c r="D176" s="19">
        <v>28.88</v>
      </c>
      <c r="E176" s="19">
        <v>20</v>
      </c>
      <c r="F176" s="19">
        <v>12.5</v>
      </c>
      <c r="G176" s="19">
        <v>9</v>
      </c>
      <c r="H176" s="19">
        <v>1</v>
      </c>
      <c r="I176" s="19">
        <v>50</v>
      </c>
      <c r="J176" s="19">
        <v>29</v>
      </c>
      <c r="K176" s="19">
        <v>15</v>
      </c>
      <c r="L176" s="19">
        <f t="shared" si="6"/>
        <v>11.490666646784669</v>
      </c>
      <c r="M176" s="19">
        <v>18.350000000000001</v>
      </c>
      <c r="N176" s="19">
        <f t="shared" si="7"/>
        <v>8.8962565315202848</v>
      </c>
      <c r="O176" s="19">
        <v>-1</v>
      </c>
      <c r="P176" s="19">
        <v>3</v>
      </c>
      <c r="Q176" s="19">
        <v>2</v>
      </c>
      <c r="R176" s="19">
        <v>0.8</v>
      </c>
      <c r="S176" s="19">
        <v>0.06</v>
      </c>
      <c r="T176" s="19">
        <v>0.06</v>
      </c>
      <c r="U176" s="19">
        <v>0.6</v>
      </c>
      <c r="V176" s="19">
        <v>0.3</v>
      </c>
      <c r="W176" s="19">
        <v>66</v>
      </c>
      <c r="X176" s="19">
        <v>10</v>
      </c>
      <c r="Y176" s="20">
        <v>4.5827160490000001</v>
      </c>
      <c r="Z176" s="20">
        <v>0</v>
      </c>
      <c r="AA176" s="20">
        <v>2.5666389139999999</v>
      </c>
      <c r="AB176" s="20">
        <v>24.54429872</v>
      </c>
      <c r="AC176" s="20">
        <v>2.6397370100000002</v>
      </c>
      <c r="AD176" s="20">
        <v>29.57234558</v>
      </c>
      <c r="AE176" s="20">
        <v>2.2647279060000001</v>
      </c>
      <c r="AF176" s="20">
        <v>35.861504830000001</v>
      </c>
      <c r="AG176" s="20">
        <v>0</v>
      </c>
      <c r="AH176" s="20">
        <v>46.752851669999998</v>
      </c>
    </row>
    <row r="177" spans="1:34" s="19" customFormat="1" x14ac:dyDescent="0.3">
      <c r="A177" s="19" t="s">
        <v>169</v>
      </c>
      <c r="B177" s="19">
        <v>3500</v>
      </c>
      <c r="C177" s="19">
        <v>75</v>
      </c>
      <c r="D177" s="19">
        <v>28.88</v>
      </c>
      <c r="E177" s="19">
        <v>20</v>
      </c>
      <c r="F177" s="19">
        <v>12.5</v>
      </c>
      <c r="G177" s="19">
        <v>9</v>
      </c>
      <c r="H177" s="19">
        <v>1</v>
      </c>
      <c r="I177" s="19">
        <v>50</v>
      </c>
      <c r="J177" s="19">
        <v>29</v>
      </c>
      <c r="K177" s="19">
        <v>15</v>
      </c>
      <c r="L177" s="19">
        <f t="shared" si="6"/>
        <v>11.490666646784669</v>
      </c>
      <c r="M177" s="19">
        <v>18.350000000000001</v>
      </c>
      <c r="N177" s="19">
        <f t="shared" si="7"/>
        <v>8.8962565315202848</v>
      </c>
      <c r="O177" s="19">
        <v>-1</v>
      </c>
      <c r="P177" s="19">
        <v>3</v>
      </c>
      <c r="Q177" s="19">
        <v>2</v>
      </c>
      <c r="R177" s="19">
        <v>0.8</v>
      </c>
      <c r="S177" s="19">
        <v>0.06</v>
      </c>
      <c r="T177" s="19">
        <v>0.06</v>
      </c>
      <c r="U177" s="19">
        <v>0.6</v>
      </c>
      <c r="V177" s="19">
        <v>0.3</v>
      </c>
      <c r="W177" s="19">
        <v>66</v>
      </c>
      <c r="X177" s="19">
        <v>10</v>
      </c>
      <c r="Y177" s="20">
        <v>3.5086419750000002</v>
      </c>
      <c r="Z177" s="20">
        <v>0</v>
      </c>
      <c r="AA177" s="20">
        <v>1.9650829190000001</v>
      </c>
      <c r="AB177" s="20">
        <v>21.47626138</v>
      </c>
      <c r="AC177" s="20">
        <v>2.0210486479999998</v>
      </c>
      <c r="AD177" s="20">
        <v>25.87580238</v>
      </c>
      <c r="AE177" s="20">
        <v>1.733932303</v>
      </c>
      <c r="AF177" s="20">
        <v>31.37881672</v>
      </c>
      <c r="AG177" s="20">
        <v>0</v>
      </c>
      <c r="AH177" s="20">
        <v>40.90874522</v>
      </c>
    </row>
    <row r="178" spans="1:34" s="19" customFormat="1" x14ac:dyDescent="0.3">
      <c r="A178" s="19" t="s">
        <v>169</v>
      </c>
      <c r="B178" s="19">
        <v>3000</v>
      </c>
      <c r="C178" s="19">
        <v>75</v>
      </c>
      <c r="D178" s="19">
        <v>28.88</v>
      </c>
      <c r="E178" s="19">
        <v>20</v>
      </c>
      <c r="F178" s="19">
        <v>12.5</v>
      </c>
      <c r="G178" s="19">
        <v>9</v>
      </c>
      <c r="H178" s="19">
        <v>1</v>
      </c>
      <c r="I178" s="19">
        <v>50</v>
      </c>
      <c r="J178" s="19">
        <v>29</v>
      </c>
      <c r="K178" s="19">
        <v>15</v>
      </c>
      <c r="L178" s="19">
        <f t="shared" si="6"/>
        <v>11.490666646784669</v>
      </c>
      <c r="M178" s="19">
        <v>18.350000000000001</v>
      </c>
      <c r="N178" s="19">
        <f t="shared" si="7"/>
        <v>8.8962565315202848</v>
      </c>
      <c r="O178" s="19">
        <v>-1</v>
      </c>
      <c r="P178" s="19">
        <v>3</v>
      </c>
      <c r="Q178" s="19">
        <v>2</v>
      </c>
      <c r="R178" s="19">
        <v>0.8</v>
      </c>
      <c r="S178" s="19">
        <v>0.06</v>
      </c>
      <c r="T178" s="19">
        <v>0.06</v>
      </c>
      <c r="U178" s="19">
        <v>0.6</v>
      </c>
      <c r="V178" s="19">
        <v>0.3</v>
      </c>
      <c r="W178" s="19">
        <v>66</v>
      </c>
      <c r="X178" s="19">
        <v>10</v>
      </c>
      <c r="Y178" s="20">
        <v>2.5777777780000002</v>
      </c>
      <c r="Z178" s="20">
        <v>0</v>
      </c>
      <c r="AA178" s="20">
        <v>1.4437343890000001</v>
      </c>
      <c r="AB178" s="20">
        <v>18.40822404</v>
      </c>
      <c r="AC178" s="20">
        <v>1.4848520679999999</v>
      </c>
      <c r="AD178" s="20">
        <v>22.179259179999999</v>
      </c>
      <c r="AE178" s="20">
        <v>1.2739094470000001</v>
      </c>
      <c r="AF178" s="20">
        <v>26.896128619999999</v>
      </c>
      <c r="AG178" s="20">
        <v>0</v>
      </c>
      <c r="AH178" s="20">
        <v>35.064638760000001</v>
      </c>
    </row>
    <row r="179" spans="1:34" s="19" customFormat="1" x14ac:dyDescent="0.3">
      <c r="A179" s="19" t="s">
        <v>169</v>
      </c>
      <c r="B179" s="19">
        <v>2500</v>
      </c>
      <c r="C179" s="19">
        <v>75</v>
      </c>
      <c r="D179" s="19">
        <v>28.88</v>
      </c>
      <c r="E179" s="19">
        <v>20</v>
      </c>
      <c r="F179" s="19">
        <v>12.5</v>
      </c>
      <c r="G179" s="19">
        <v>9</v>
      </c>
      <c r="H179" s="19">
        <v>1</v>
      </c>
      <c r="I179" s="19">
        <v>50</v>
      </c>
      <c r="J179" s="19">
        <v>29</v>
      </c>
      <c r="K179" s="19">
        <v>15</v>
      </c>
      <c r="L179" s="19">
        <f t="shared" si="6"/>
        <v>11.490666646784669</v>
      </c>
      <c r="M179" s="19">
        <v>18.350000000000001</v>
      </c>
      <c r="N179" s="19">
        <f t="shared" si="7"/>
        <v>8.8962565315202848</v>
      </c>
      <c r="O179" s="19">
        <v>-1</v>
      </c>
      <c r="P179" s="19">
        <v>3</v>
      </c>
      <c r="Q179" s="19">
        <v>2</v>
      </c>
      <c r="R179" s="19">
        <v>0.8</v>
      </c>
      <c r="S179" s="19">
        <v>0.06</v>
      </c>
      <c r="T179" s="19">
        <v>0.06</v>
      </c>
      <c r="U179" s="19">
        <v>0.6</v>
      </c>
      <c r="V179" s="19">
        <v>0.3</v>
      </c>
      <c r="W179" s="19">
        <v>66</v>
      </c>
      <c r="X179" s="19">
        <v>10</v>
      </c>
      <c r="Y179" s="20">
        <v>1.790123457</v>
      </c>
      <c r="Z179" s="20">
        <v>0</v>
      </c>
      <c r="AA179" s="20">
        <v>1.002593326</v>
      </c>
      <c r="AB179" s="20">
        <v>15.3401867</v>
      </c>
      <c r="AC179" s="20">
        <v>1.0311472699999999</v>
      </c>
      <c r="AD179" s="20">
        <v>18.482715989999999</v>
      </c>
      <c r="AE179" s="20">
        <v>0.88465933799999996</v>
      </c>
      <c r="AF179" s="20">
        <v>22.413440520000002</v>
      </c>
      <c r="AG179" s="20">
        <v>0</v>
      </c>
      <c r="AH179" s="20">
        <v>29.220532299999999</v>
      </c>
    </row>
    <row r="180" spans="1:34" s="19" customFormat="1" x14ac:dyDescent="0.3">
      <c r="A180" s="19" t="s">
        <v>72</v>
      </c>
      <c r="B180" s="19">
        <v>2000</v>
      </c>
      <c r="C180" s="19">
        <v>75</v>
      </c>
      <c r="D180" s="19">
        <v>28.88</v>
      </c>
      <c r="E180" s="19">
        <v>20</v>
      </c>
      <c r="F180" s="19">
        <v>12.5</v>
      </c>
      <c r="G180" s="19">
        <v>9</v>
      </c>
      <c r="H180" s="19">
        <v>1</v>
      </c>
      <c r="I180" s="19">
        <v>50</v>
      </c>
      <c r="J180" s="19">
        <v>29</v>
      </c>
      <c r="K180" s="19">
        <v>15</v>
      </c>
      <c r="L180" s="19">
        <f t="shared" si="6"/>
        <v>11.490666646784669</v>
      </c>
      <c r="M180" s="19">
        <v>18.350000000000001</v>
      </c>
      <c r="N180" s="19">
        <f t="shared" si="7"/>
        <v>8.8962565315202848</v>
      </c>
      <c r="O180" s="19">
        <v>-1</v>
      </c>
      <c r="P180" s="19">
        <v>3</v>
      </c>
      <c r="Q180" s="19">
        <v>2</v>
      </c>
      <c r="R180" s="19">
        <v>0.8</v>
      </c>
      <c r="S180" s="19">
        <v>0.06</v>
      </c>
      <c r="T180" s="19">
        <v>0.06</v>
      </c>
      <c r="U180" s="19">
        <v>0.6</v>
      </c>
      <c r="V180" s="19">
        <v>0.3</v>
      </c>
      <c r="W180" s="19">
        <v>66</v>
      </c>
      <c r="X180" s="19">
        <v>10</v>
      </c>
      <c r="Y180" s="20">
        <v>1.145679012</v>
      </c>
      <c r="Z180" s="20">
        <v>0</v>
      </c>
      <c r="AA180" s="20">
        <v>0.64165972900000001</v>
      </c>
      <c r="AB180" s="20">
        <v>12.27214936</v>
      </c>
      <c r="AC180" s="20">
        <v>0.65993425299999997</v>
      </c>
      <c r="AD180" s="20">
        <v>14.78617279</v>
      </c>
      <c r="AE180" s="20">
        <v>0.56618197699999995</v>
      </c>
      <c r="AF180" s="20">
        <v>17.93075241</v>
      </c>
      <c r="AG180" s="20">
        <v>0</v>
      </c>
      <c r="AH180" s="20">
        <v>23.37642584</v>
      </c>
    </row>
    <row r="181" spans="1:34" s="19" customFormat="1" x14ac:dyDescent="0.3">
      <c r="A181" s="19" t="s">
        <v>170</v>
      </c>
      <c r="B181" s="19">
        <v>4500</v>
      </c>
      <c r="C181" s="19">
        <v>75</v>
      </c>
      <c r="D181" s="19">
        <v>33</v>
      </c>
      <c r="E181" s="19">
        <v>20</v>
      </c>
      <c r="F181" s="19">
        <v>10</v>
      </c>
      <c r="G181" s="19">
        <v>7</v>
      </c>
      <c r="H181" s="19">
        <v>1.25</v>
      </c>
      <c r="I181" s="19">
        <v>29.6</v>
      </c>
      <c r="J181" s="19">
        <v>24.5</v>
      </c>
      <c r="K181" s="19">
        <v>14.36</v>
      </c>
      <c r="L181" s="19">
        <f t="shared" si="6"/>
        <v>7.0930052041495566</v>
      </c>
      <c r="M181" s="19">
        <v>30</v>
      </c>
      <c r="N181" s="19">
        <f t="shared" si="7"/>
        <v>12.440797279687169</v>
      </c>
      <c r="O181" s="19">
        <v>-4.96</v>
      </c>
      <c r="P181" s="19">
        <v>-0.14399999999999999</v>
      </c>
      <c r="Q181" s="19">
        <v>2.4</v>
      </c>
      <c r="R181" s="19">
        <v>0.9</v>
      </c>
      <c r="S181" s="19">
        <v>0.04</v>
      </c>
      <c r="T181" s="19">
        <v>0.04</v>
      </c>
      <c r="U181" s="19">
        <v>0.61</v>
      </c>
      <c r="V181" s="19">
        <v>0.41</v>
      </c>
      <c r="W181" s="19">
        <v>45</v>
      </c>
      <c r="X181" s="19">
        <v>100</v>
      </c>
      <c r="Y181" s="20">
        <v>10.80040584</v>
      </c>
      <c r="Z181" s="20">
        <v>0</v>
      </c>
      <c r="AA181" s="20">
        <v>3.3655210200000001</v>
      </c>
      <c r="AB181" s="20">
        <v>22.348513839999999</v>
      </c>
      <c r="AC181" s="20">
        <v>3.1626203990000001</v>
      </c>
      <c r="AD181" s="20">
        <v>27.43077525</v>
      </c>
      <c r="AE181" s="20">
        <v>2.5624441060000001</v>
      </c>
      <c r="AF181" s="20">
        <v>31.724519440000002</v>
      </c>
      <c r="AG181" s="20">
        <v>0</v>
      </c>
      <c r="AH181" s="20">
        <v>38.86142057</v>
      </c>
    </row>
    <row r="182" spans="1:34" s="19" customFormat="1" x14ac:dyDescent="0.3">
      <c r="A182" s="19" t="s">
        <v>170</v>
      </c>
      <c r="B182" s="19">
        <v>4000</v>
      </c>
      <c r="C182" s="19">
        <v>75</v>
      </c>
      <c r="D182" s="19">
        <v>33</v>
      </c>
      <c r="E182" s="19">
        <v>20</v>
      </c>
      <c r="F182" s="19">
        <v>10</v>
      </c>
      <c r="G182" s="19">
        <v>7</v>
      </c>
      <c r="H182" s="19">
        <v>1.25</v>
      </c>
      <c r="I182" s="19">
        <v>29.6</v>
      </c>
      <c r="J182" s="19">
        <v>24.5</v>
      </c>
      <c r="K182" s="19">
        <v>14.36</v>
      </c>
      <c r="L182" s="19">
        <f t="shared" si="6"/>
        <v>7.0930052041495566</v>
      </c>
      <c r="M182" s="19">
        <v>30</v>
      </c>
      <c r="N182" s="19">
        <f t="shared" si="7"/>
        <v>12.440797279687169</v>
      </c>
      <c r="O182" s="19">
        <v>-4.96</v>
      </c>
      <c r="P182" s="19">
        <v>-0.14399999999999999</v>
      </c>
      <c r="Q182" s="19">
        <v>2.4</v>
      </c>
      <c r="R182" s="19">
        <v>0.9</v>
      </c>
      <c r="S182" s="19">
        <v>0.04</v>
      </c>
      <c r="T182" s="19">
        <v>0.04</v>
      </c>
      <c r="U182" s="19">
        <v>0.61</v>
      </c>
      <c r="V182" s="19">
        <v>0.41</v>
      </c>
      <c r="W182" s="19">
        <v>45</v>
      </c>
      <c r="X182" s="19">
        <v>100</v>
      </c>
      <c r="Y182" s="20">
        <v>8.5336539990000002</v>
      </c>
      <c r="Z182" s="20">
        <v>0</v>
      </c>
      <c r="AA182" s="20">
        <v>2.6591771030000002</v>
      </c>
      <c r="AB182" s="20">
        <v>19.86534563</v>
      </c>
      <c r="AC182" s="20">
        <v>2.498860562</v>
      </c>
      <c r="AD182" s="20">
        <v>24.382911329999999</v>
      </c>
      <c r="AE182" s="20">
        <v>2.024647195</v>
      </c>
      <c r="AF182" s="20">
        <v>28.199572839999998</v>
      </c>
      <c r="AG182" s="20">
        <v>0</v>
      </c>
      <c r="AH182" s="20">
        <v>34.543484960000001</v>
      </c>
    </row>
    <row r="183" spans="1:34" s="19" customFormat="1" x14ac:dyDescent="0.3">
      <c r="A183" s="19" t="s">
        <v>171</v>
      </c>
      <c r="B183" s="19">
        <v>3500</v>
      </c>
      <c r="C183" s="19">
        <v>75</v>
      </c>
      <c r="D183" s="19">
        <v>33</v>
      </c>
      <c r="E183" s="19">
        <v>20</v>
      </c>
      <c r="F183" s="19">
        <v>10</v>
      </c>
      <c r="G183" s="19">
        <v>7</v>
      </c>
      <c r="H183" s="19">
        <v>1.25</v>
      </c>
      <c r="I183" s="19">
        <v>29.6</v>
      </c>
      <c r="J183" s="19">
        <v>24.5</v>
      </c>
      <c r="K183" s="19">
        <v>14.36</v>
      </c>
      <c r="L183" s="19">
        <f t="shared" si="6"/>
        <v>7.0930052041495566</v>
      </c>
      <c r="M183" s="19">
        <v>30</v>
      </c>
      <c r="N183" s="19">
        <f t="shared" si="7"/>
        <v>12.440797279687169</v>
      </c>
      <c r="O183" s="19">
        <v>-4.96</v>
      </c>
      <c r="P183" s="19">
        <v>-0.14399999999999999</v>
      </c>
      <c r="Q183" s="19">
        <v>2.4</v>
      </c>
      <c r="R183" s="19">
        <v>0.9</v>
      </c>
      <c r="S183" s="19">
        <v>0.04</v>
      </c>
      <c r="T183" s="19">
        <v>0.04</v>
      </c>
      <c r="U183" s="19">
        <v>0.61</v>
      </c>
      <c r="V183" s="19">
        <v>0.41</v>
      </c>
      <c r="W183" s="19">
        <v>45</v>
      </c>
      <c r="X183" s="19">
        <v>100</v>
      </c>
      <c r="Y183" s="20">
        <v>6.5335788429999999</v>
      </c>
      <c r="Z183" s="20">
        <v>0</v>
      </c>
      <c r="AA183" s="20">
        <v>2.035932469</v>
      </c>
      <c r="AB183" s="20">
        <v>17.382177429999999</v>
      </c>
      <c r="AC183" s="20">
        <v>1.9131901179999999</v>
      </c>
      <c r="AD183" s="20">
        <v>21.335047419999999</v>
      </c>
      <c r="AE183" s="20">
        <v>1.550120508</v>
      </c>
      <c r="AF183" s="20">
        <v>24.674626230000001</v>
      </c>
      <c r="AG183" s="20">
        <v>0</v>
      </c>
      <c r="AH183" s="20">
        <v>30.225549340000001</v>
      </c>
    </row>
    <row r="184" spans="1:34" s="19" customFormat="1" x14ac:dyDescent="0.3">
      <c r="A184" s="19" t="s">
        <v>171</v>
      </c>
      <c r="B184" s="19">
        <v>3000</v>
      </c>
      <c r="C184" s="19">
        <v>75</v>
      </c>
      <c r="D184" s="19">
        <v>33</v>
      </c>
      <c r="E184" s="19">
        <v>20</v>
      </c>
      <c r="F184" s="19">
        <v>10</v>
      </c>
      <c r="G184" s="19">
        <v>7</v>
      </c>
      <c r="H184" s="19">
        <v>1.25</v>
      </c>
      <c r="I184" s="19">
        <v>29.6</v>
      </c>
      <c r="J184" s="19">
        <v>24.5</v>
      </c>
      <c r="K184" s="19">
        <v>14.36</v>
      </c>
      <c r="L184" s="19">
        <f t="shared" si="6"/>
        <v>7.0930052041495566</v>
      </c>
      <c r="M184" s="19">
        <v>30</v>
      </c>
      <c r="N184" s="19">
        <f t="shared" si="7"/>
        <v>12.440797279687169</v>
      </c>
      <c r="O184" s="19">
        <v>-4.96</v>
      </c>
      <c r="P184" s="19">
        <v>-0.14399999999999999</v>
      </c>
      <c r="Q184" s="19">
        <v>2.4</v>
      </c>
      <c r="R184" s="19">
        <v>0.9</v>
      </c>
      <c r="S184" s="19">
        <v>0.04</v>
      </c>
      <c r="T184" s="19">
        <v>0.04</v>
      </c>
      <c r="U184" s="19">
        <v>0.61</v>
      </c>
      <c r="V184" s="19">
        <v>0.41</v>
      </c>
      <c r="W184" s="19">
        <v>45</v>
      </c>
      <c r="X184" s="19">
        <v>100</v>
      </c>
      <c r="Y184" s="20">
        <v>4.800180374</v>
      </c>
      <c r="Z184" s="20">
        <v>0</v>
      </c>
      <c r="AA184" s="20">
        <v>1.4957871199999999</v>
      </c>
      <c r="AB184" s="20">
        <v>14.89900922</v>
      </c>
      <c r="AC184" s="20">
        <v>1.405609066</v>
      </c>
      <c r="AD184" s="20">
        <v>18.287183500000001</v>
      </c>
      <c r="AE184" s="20">
        <v>1.138864047</v>
      </c>
      <c r="AF184" s="20">
        <v>21.149679630000001</v>
      </c>
      <c r="AG184" s="20">
        <v>0</v>
      </c>
      <c r="AH184" s="20">
        <v>25.907613720000001</v>
      </c>
    </row>
    <row r="185" spans="1:34" s="19" customFormat="1" x14ac:dyDescent="0.3">
      <c r="A185" s="19" t="s">
        <v>171</v>
      </c>
      <c r="B185" s="19">
        <v>2500</v>
      </c>
      <c r="C185" s="19">
        <v>75</v>
      </c>
      <c r="D185" s="19">
        <v>33</v>
      </c>
      <c r="E185" s="19">
        <v>20</v>
      </c>
      <c r="F185" s="19">
        <v>10</v>
      </c>
      <c r="G185" s="19">
        <v>7</v>
      </c>
      <c r="H185" s="19">
        <v>1.25</v>
      </c>
      <c r="I185" s="19">
        <v>29.6</v>
      </c>
      <c r="J185" s="19">
        <v>24.5</v>
      </c>
      <c r="K185" s="19">
        <v>14.36</v>
      </c>
      <c r="L185" s="19">
        <f t="shared" si="6"/>
        <v>7.0930052041495566</v>
      </c>
      <c r="M185" s="19">
        <v>30</v>
      </c>
      <c r="N185" s="19">
        <f t="shared" si="7"/>
        <v>12.440797279687169</v>
      </c>
      <c r="O185" s="19">
        <v>-4.96</v>
      </c>
      <c r="P185" s="19">
        <v>-0.14399999999999999</v>
      </c>
      <c r="Q185" s="19">
        <v>2.4</v>
      </c>
      <c r="R185" s="19">
        <v>0.9</v>
      </c>
      <c r="S185" s="19">
        <v>0.04</v>
      </c>
      <c r="T185" s="19">
        <v>0.04</v>
      </c>
      <c r="U185" s="19">
        <v>0.61</v>
      </c>
      <c r="V185" s="19">
        <v>0.41</v>
      </c>
      <c r="W185" s="19">
        <v>45</v>
      </c>
      <c r="X185" s="19">
        <v>100</v>
      </c>
      <c r="Y185" s="20">
        <v>3.333458593</v>
      </c>
      <c r="Z185" s="20">
        <v>0</v>
      </c>
      <c r="AA185" s="20">
        <v>1.0387410560000001</v>
      </c>
      <c r="AB185" s="20">
        <v>12.41584102</v>
      </c>
      <c r="AC185" s="20">
        <v>0.97611740700000005</v>
      </c>
      <c r="AD185" s="20">
        <v>15.23931958</v>
      </c>
      <c r="AE185" s="20">
        <v>0.79087781000000001</v>
      </c>
      <c r="AF185" s="20">
        <v>17.624733020000001</v>
      </c>
      <c r="AG185" s="20">
        <v>0</v>
      </c>
      <c r="AH185" s="20">
        <v>21.5896781</v>
      </c>
    </row>
    <row r="186" spans="1:34" s="19" customFormat="1" x14ac:dyDescent="0.3">
      <c r="A186" s="19" t="s">
        <v>171</v>
      </c>
      <c r="B186" s="19">
        <v>2000</v>
      </c>
      <c r="C186" s="19">
        <v>75</v>
      </c>
      <c r="D186" s="19">
        <v>33</v>
      </c>
      <c r="E186" s="19">
        <v>20</v>
      </c>
      <c r="F186" s="19">
        <v>10</v>
      </c>
      <c r="G186" s="19">
        <v>7</v>
      </c>
      <c r="H186" s="19">
        <v>1.25</v>
      </c>
      <c r="I186" s="19">
        <v>29.6</v>
      </c>
      <c r="J186" s="19">
        <v>24.5</v>
      </c>
      <c r="K186" s="19">
        <v>14.36</v>
      </c>
      <c r="L186" s="19">
        <f t="shared" si="6"/>
        <v>7.0930052041495566</v>
      </c>
      <c r="M186" s="19">
        <v>30</v>
      </c>
      <c r="N186" s="19">
        <f t="shared" si="7"/>
        <v>12.440797279687169</v>
      </c>
      <c r="O186" s="19">
        <v>-4.96</v>
      </c>
      <c r="P186" s="19">
        <v>-0.14399999999999999</v>
      </c>
      <c r="Q186" s="19">
        <v>2.4</v>
      </c>
      <c r="R186" s="19">
        <v>0.9</v>
      </c>
      <c r="S186" s="19">
        <v>0.04</v>
      </c>
      <c r="T186" s="19">
        <v>0.04</v>
      </c>
      <c r="U186" s="19">
        <v>0.61</v>
      </c>
      <c r="V186" s="19">
        <v>0.41</v>
      </c>
      <c r="W186" s="19">
        <v>45</v>
      </c>
      <c r="X186" s="19">
        <v>100</v>
      </c>
      <c r="Y186" s="20">
        <v>2.1334135000000001</v>
      </c>
      <c r="Z186" s="20">
        <v>0</v>
      </c>
      <c r="AA186" s="20">
        <v>0.66479427599999996</v>
      </c>
      <c r="AB186" s="20">
        <v>9.9326728160000002</v>
      </c>
      <c r="AC186" s="20">
        <v>0.62471514100000003</v>
      </c>
      <c r="AD186" s="20">
        <v>12.19145567</v>
      </c>
      <c r="AE186" s="20">
        <v>0.50616179900000002</v>
      </c>
      <c r="AF186" s="20">
        <v>14.099786419999999</v>
      </c>
      <c r="AG186" s="20">
        <v>0</v>
      </c>
      <c r="AH186" s="20">
        <v>17.27174248</v>
      </c>
    </row>
    <row r="187" spans="1:34" s="19" customFormat="1" x14ac:dyDescent="0.3">
      <c r="A187" s="19" t="s">
        <v>172</v>
      </c>
      <c r="B187" s="19">
        <v>4000</v>
      </c>
      <c r="C187" s="19">
        <v>75</v>
      </c>
      <c r="D187" s="19">
        <v>35</v>
      </c>
      <c r="E187" s="19">
        <v>25</v>
      </c>
      <c r="F187" s="19">
        <v>16.7</v>
      </c>
      <c r="G187" s="19">
        <v>7</v>
      </c>
      <c r="H187" s="19">
        <v>0.8</v>
      </c>
      <c r="I187" s="19">
        <v>49</v>
      </c>
      <c r="J187" s="19">
        <v>36</v>
      </c>
      <c r="K187" s="19">
        <v>17.7</v>
      </c>
      <c r="L187" s="19">
        <f t="shared" si="6"/>
        <v>13.358359569943062</v>
      </c>
      <c r="M187" s="19">
        <v>26.25</v>
      </c>
      <c r="N187" s="19">
        <f t="shared" si="7"/>
        <v>15.429362872677419</v>
      </c>
      <c r="O187" s="19">
        <v>-2.76</v>
      </c>
      <c r="P187" s="19">
        <v>-0.4</v>
      </c>
      <c r="Q187" s="19">
        <v>2.5</v>
      </c>
      <c r="R187" s="19">
        <v>0.8</v>
      </c>
      <c r="S187" s="19">
        <v>0.06</v>
      </c>
      <c r="T187" s="19">
        <v>0.04</v>
      </c>
      <c r="U187" s="19">
        <v>0.65</v>
      </c>
      <c r="V187" s="19">
        <v>0.5</v>
      </c>
      <c r="W187" s="19">
        <v>13</v>
      </c>
      <c r="X187" s="19">
        <v>500</v>
      </c>
      <c r="Y187" s="20">
        <v>8.8557619360000004</v>
      </c>
      <c r="Z187" s="20">
        <v>0</v>
      </c>
      <c r="AA187" s="20">
        <v>2.946473262</v>
      </c>
      <c r="AB187" s="20">
        <v>25.658651970000001</v>
      </c>
      <c r="AC187" s="20">
        <v>2.5078750790000002</v>
      </c>
      <c r="AD187" s="20">
        <v>35.704245950000001</v>
      </c>
      <c r="AE187" s="20">
        <v>1.65949539</v>
      </c>
      <c r="AF187" s="20">
        <v>41.250138649999997</v>
      </c>
      <c r="AG187" s="20">
        <v>0</v>
      </c>
      <c r="AH187" s="20">
        <v>46.272651340000003</v>
      </c>
    </row>
    <row r="188" spans="1:34" s="19" customFormat="1" x14ac:dyDescent="0.3">
      <c r="A188" s="19" t="s">
        <v>172</v>
      </c>
      <c r="B188" s="19">
        <v>3500</v>
      </c>
      <c r="C188" s="19">
        <v>75</v>
      </c>
      <c r="D188" s="19">
        <v>35</v>
      </c>
      <c r="E188" s="19">
        <v>25</v>
      </c>
      <c r="F188" s="19">
        <v>16.7</v>
      </c>
      <c r="G188" s="19">
        <v>7</v>
      </c>
      <c r="H188" s="19">
        <v>0.8</v>
      </c>
      <c r="I188" s="19">
        <v>49</v>
      </c>
      <c r="J188" s="19">
        <v>36</v>
      </c>
      <c r="K188" s="19">
        <v>17.7</v>
      </c>
      <c r="L188" s="19">
        <f t="shared" si="6"/>
        <v>13.358359569943062</v>
      </c>
      <c r="M188" s="19">
        <v>26.25</v>
      </c>
      <c r="N188" s="19">
        <f t="shared" si="7"/>
        <v>15.429362872677419</v>
      </c>
      <c r="O188" s="19">
        <v>-2.76</v>
      </c>
      <c r="P188" s="19">
        <v>-0.4</v>
      </c>
      <c r="Q188" s="19">
        <v>2.5</v>
      </c>
      <c r="R188" s="19">
        <v>0.8</v>
      </c>
      <c r="S188" s="19">
        <v>0.06</v>
      </c>
      <c r="T188" s="19">
        <v>0.04</v>
      </c>
      <c r="U188" s="19">
        <v>0.65</v>
      </c>
      <c r="V188" s="19">
        <v>0.5</v>
      </c>
      <c r="W188" s="19">
        <v>13</v>
      </c>
      <c r="X188" s="19">
        <v>500</v>
      </c>
      <c r="Y188" s="20">
        <v>6.7801927319999997</v>
      </c>
      <c r="Z188" s="20">
        <v>0</v>
      </c>
      <c r="AA188" s="20">
        <v>2.255893591</v>
      </c>
      <c r="AB188" s="20">
        <v>22.45132048</v>
      </c>
      <c r="AC188" s="20">
        <v>1.9200918579999999</v>
      </c>
      <c r="AD188" s="20">
        <v>31.241215199999999</v>
      </c>
      <c r="AE188" s="20">
        <v>1.270551158</v>
      </c>
      <c r="AF188" s="20">
        <v>36.093871319999998</v>
      </c>
      <c r="AG188" s="20">
        <v>0</v>
      </c>
      <c r="AH188" s="20">
        <v>40.488569929999997</v>
      </c>
    </row>
    <row r="189" spans="1:34" s="19" customFormat="1" x14ac:dyDescent="0.3">
      <c r="A189" s="19" t="s">
        <v>173</v>
      </c>
      <c r="B189" s="19">
        <v>3000</v>
      </c>
      <c r="C189" s="19">
        <v>75</v>
      </c>
      <c r="D189" s="19">
        <v>35</v>
      </c>
      <c r="E189" s="19">
        <v>25</v>
      </c>
      <c r="F189" s="19">
        <v>16.7</v>
      </c>
      <c r="G189" s="19">
        <v>7</v>
      </c>
      <c r="H189" s="19">
        <v>0.8</v>
      </c>
      <c r="I189" s="19">
        <v>49</v>
      </c>
      <c r="J189" s="19">
        <v>36</v>
      </c>
      <c r="K189" s="19">
        <v>17.7</v>
      </c>
      <c r="L189" s="19">
        <f t="shared" si="6"/>
        <v>13.358359569943062</v>
      </c>
      <c r="M189" s="19">
        <v>26.25</v>
      </c>
      <c r="N189" s="19">
        <f t="shared" si="7"/>
        <v>15.429362872677419</v>
      </c>
      <c r="O189" s="19">
        <v>-2.76</v>
      </c>
      <c r="P189" s="19">
        <v>-0.4</v>
      </c>
      <c r="Q189" s="19">
        <v>2.5</v>
      </c>
      <c r="R189" s="19">
        <v>0.8</v>
      </c>
      <c r="S189" s="19">
        <v>0.06</v>
      </c>
      <c r="T189" s="19">
        <v>0.04</v>
      </c>
      <c r="U189" s="19">
        <v>0.65</v>
      </c>
      <c r="V189" s="19">
        <v>0.5</v>
      </c>
      <c r="W189" s="19">
        <v>13</v>
      </c>
      <c r="X189" s="19">
        <v>500</v>
      </c>
      <c r="Y189" s="20">
        <v>4.9813660889999998</v>
      </c>
      <c r="Z189" s="20">
        <v>0</v>
      </c>
      <c r="AA189" s="20">
        <v>1.6573912099999999</v>
      </c>
      <c r="AB189" s="20">
        <v>19.243988980000001</v>
      </c>
      <c r="AC189" s="20">
        <v>1.410679732</v>
      </c>
      <c r="AD189" s="20">
        <v>26.778184459999999</v>
      </c>
      <c r="AE189" s="20">
        <v>0.93346615700000002</v>
      </c>
      <c r="AF189" s="20">
        <v>30.937603989999999</v>
      </c>
      <c r="AG189" s="20">
        <v>0</v>
      </c>
      <c r="AH189" s="20">
        <v>34.704488509999997</v>
      </c>
    </row>
    <row r="190" spans="1:34" s="19" customFormat="1" x14ac:dyDescent="0.3">
      <c r="A190" s="19" t="s">
        <v>173</v>
      </c>
      <c r="B190" s="19">
        <v>2500</v>
      </c>
      <c r="C190" s="19">
        <v>75</v>
      </c>
      <c r="D190" s="19">
        <v>35</v>
      </c>
      <c r="E190" s="19">
        <v>25</v>
      </c>
      <c r="F190" s="19">
        <v>16.7</v>
      </c>
      <c r="G190" s="19">
        <v>7</v>
      </c>
      <c r="H190" s="19">
        <v>0.8</v>
      </c>
      <c r="I190" s="19">
        <v>49</v>
      </c>
      <c r="J190" s="19">
        <v>36</v>
      </c>
      <c r="K190" s="19">
        <v>17.7</v>
      </c>
      <c r="L190" s="19">
        <f t="shared" si="6"/>
        <v>13.358359569943062</v>
      </c>
      <c r="M190" s="19">
        <v>26.25</v>
      </c>
      <c r="N190" s="19">
        <f t="shared" si="7"/>
        <v>15.429362872677419</v>
      </c>
      <c r="O190" s="19">
        <v>-2.76</v>
      </c>
      <c r="P190" s="19">
        <v>-0.4</v>
      </c>
      <c r="Q190" s="19">
        <v>2.5</v>
      </c>
      <c r="R190" s="19">
        <v>0.8</v>
      </c>
      <c r="S190" s="19">
        <v>0.06</v>
      </c>
      <c r="T190" s="19">
        <v>0.04</v>
      </c>
      <c r="U190" s="19">
        <v>0.65</v>
      </c>
      <c r="V190" s="19">
        <v>0.5</v>
      </c>
      <c r="W190" s="19">
        <v>13</v>
      </c>
      <c r="X190" s="19">
        <v>500</v>
      </c>
      <c r="Y190" s="20">
        <v>3.459282006</v>
      </c>
      <c r="Z190" s="20">
        <v>0</v>
      </c>
      <c r="AA190" s="20">
        <v>1.1509661179999999</v>
      </c>
      <c r="AB190" s="20">
        <v>16.036657479999999</v>
      </c>
      <c r="AC190" s="20">
        <v>0.979638703</v>
      </c>
      <c r="AD190" s="20">
        <v>22.315153720000001</v>
      </c>
      <c r="AE190" s="20">
        <v>0.64824038699999997</v>
      </c>
      <c r="AF190" s="20">
        <v>25.781336660000001</v>
      </c>
      <c r="AG190" s="20">
        <v>0</v>
      </c>
      <c r="AH190" s="20">
        <v>28.920407090000001</v>
      </c>
    </row>
    <row r="191" spans="1:34" s="19" customFormat="1" x14ac:dyDescent="0.3">
      <c r="A191" s="19" t="s">
        <v>210</v>
      </c>
      <c r="B191" s="19">
        <v>2000</v>
      </c>
      <c r="C191" s="19">
        <v>75</v>
      </c>
      <c r="D191" s="19">
        <v>35</v>
      </c>
      <c r="E191" s="19">
        <v>25</v>
      </c>
      <c r="F191" s="19">
        <v>16.7</v>
      </c>
      <c r="G191" s="19">
        <v>7</v>
      </c>
      <c r="H191" s="19">
        <v>0.8</v>
      </c>
      <c r="I191" s="19">
        <v>49</v>
      </c>
      <c r="J191" s="19">
        <v>36</v>
      </c>
      <c r="K191" s="19">
        <v>17.7</v>
      </c>
      <c r="L191" s="19">
        <f t="shared" si="6"/>
        <v>13.358359569943062</v>
      </c>
      <c r="M191" s="19">
        <v>26.25</v>
      </c>
      <c r="N191" s="19">
        <f t="shared" si="7"/>
        <v>15.429362872677419</v>
      </c>
      <c r="O191" s="19">
        <v>-2.76</v>
      </c>
      <c r="P191" s="19">
        <v>-0.4</v>
      </c>
      <c r="Q191" s="19">
        <v>2.5</v>
      </c>
      <c r="R191" s="19">
        <v>0.8</v>
      </c>
      <c r="S191" s="19">
        <v>0.06</v>
      </c>
      <c r="T191" s="19">
        <v>0.04</v>
      </c>
      <c r="U191" s="19">
        <v>0.65</v>
      </c>
      <c r="V191" s="19">
        <v>0.5</v>
      </c>
      <c r="W191" s="19">
        <v>13</v>
      </c>
      <c r="X191" s="19">
        <v>500</v>
      </c>
      <c r="Y191" s="20">
        <v>2.2139404840000001</v>
      </c>
      <c r="Z191" s="20">
        <v>0</v>
      </c>
      <c r="AA191" s="20">
        <v>0.73661831499999997</v>
      </c>
      <c r="AB191" s="20">
        <v>12.829325989999999</v>
      </c>
      <c r="AC191" s="20">
        <v>0.62696876999999995</v>
      </c>
      <c r="AD191" s="20">
        <v>17.85212297</v>
      </c>
      <c r="AE191" s="20">
        <v>0.41487384799999999</v>
      </c>
      <c r="AF191" s="20">
        <v>20.625069320000001</v>
      </c>
      <c r="AG191" s="20">
        <v>0</v>
      </c>
      <c r="AH191" s="20">
        <v>23.136325670000002</v>
      </c>
    </row>
  </sheetData>
  <autoFilter ref="A3:AH191" xr:uid="{BB97FB68-20BF-40DF-800A-E711A74AB745}"/>
  <mergeCells count="10">
    <mergeCell ref="Y1:Z1"/>
    <mergeCell ref="AA1:AB1"/>
    <mergeCell ref="AC1:AD1"/>
    <mergeCell ref="AE1:AF1"/>
    <mergeCell ref="AG1:AH1"/>
    <mergeCell ref="Y2:Z2"/>
    <mergeCell ref="AA2:AB2"/>
    <mergeCell ref="AC2:AD2"/>
    <mergeCell ref="AE2:AF2"/>
    <mergeCell ref="AG2:AH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E72AA-196F-48A5-A466-CDD7DD31F025}">
  <dimension ref="A1:V34"/>
  <sheetViews>
    <sheetView zoomScaleNormal="100" workbookViewId="0">
      <pane xSplit="1" ySplit="2" topLeftCell="B24" activePane="bottomRight" state="frozen"/>
      <selection pane="topRight" activeCell="B1" sqref="B1"/>
      <selection pane="bottomLeft" activeCell="A3" sqref="A3"/>
      <selection pane="bottomRight" activeCell="A12" sqref="A12:I34"/>
    </sheetView>
  </sheetViews>
  <sheetFormatPr defaultRowHeight="16.2" x14ac:dyDescent="0.3"/>
  <cols>
    <col min="1" max="1" width="19.44140625" bestFit="1" customWidth="1"/>
    <col min="2" max="2" width="14.21875" bestFit="1" customWidth="1"/>
    <col min="3" max="3" width="13.77734375" bestFit="1" customWidth="1"/>
    <col min="4" max="4" width="12.5546875" bestFit="1" customWidth="1"/>
    <col min="5" max="5" width="10.6640625" bestFit="1" customWidth="1"/>
    <col min="6" max="7" width="13.44140625" bestFit="1" customWidth="1"/>
    <col min="8" max="8" width="6" bestFit="1" customWidth="1"/>
    <col min="9" max="9" width="19" bestFit="1" customWidth="1"/>
    <col min="10" max="10" width="17.6640625" bestFit="1" customWidth="1"/>
    <col min="11" max="11" width="16.88671875" bestFit="1" customWidth="1"/>
    <col min="12" max="12" width="15.5546875" bestFit="1" customWidth="1"/>
    <col min="13" max="13" width="19.6640625" bestFit="1" customWidth="1"/>
    <col min="14" max="14" width="18.33203125" bestFit="1" customWidth="1"/>
    <col min="15" max="15" width="13.77734375" bestFit="1" customWidth="1"/>
    <col min="16" max="16" width="13.88671875" bestFit="1" customWidth="1"/>
    <col min="17" max="17" width="19.44140625" bestFit="1" customWidth="1"/>
    <col min="18" max="18" width="18.109375" bestFit="1" customWidth="1"/>
    <col min="19" max="19" width="19.44140625" bestFit="1" customWidth="1"/>
    <col min="20" max="20" width="18.109375" bestFit="1" customWidth="1"/>
    <col min="21" max="21" width="13.77734375" bestFit="1" customWidth="1"/>
    <col min="22" max="22" width="14.88671875" bestFit="1" customWidth="1"/>
  </cols>
  <sheetData>
    <row r="1" spans="1:2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8</v>
      </c>
      <c r="K1" s="2" t="s">
        <v>9</v>
      </c>
      <c r="L1" s="2" t="s">
        <v>9</v>
      </c>
      <c r="M1" s="2" t="s">
        <v>10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15</v>
      </c>
      <c r="U1" s="2" t="s">
        <v>16</v>
      </c>
      <c r="V1" s="2" t="s">
        <v>17</v>
      </c>
    </row>
    <row r="2" spans="1:22" x14ac:dyDescent="0.3">
      <c r="A2" s="1" t="s">
        <v>73</v>
      </c>
      <c r="B2" s="2" t="s">
        <v>18</v>
      </c>
      <c r="C2" s="2" t="s">
        <v>19</v>
      </c>
      <c r="D2" s="2" t="s">
        <v>20</v>
      </c>
      <c r="E2" s="3" t="s">
        <v>21</v>
      </c>
      <c r="F2" s="2" t="s">
        <v>22</v>
      </c>
      <c r="G2" s="2" t="s">
        <v>23</v>
      </c>
      <c r="H2" s="2" t="s">
        <v>75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  <c r="R2" s="2" t="s">
        <v>33</v>
      </c>
      <c r="S2" s="2" t="s">
        <v>32</v>
      </c>
      <c r="T2" s="2" t="s">
        <v>33</v>
      </c>
      <c r="U2" s="2" t="s">
        <v>34</v>
      </c>
      <c r="V2" s="2" t="s">
        <v>35</v>
      </c>
    </row>
    <row r="3" spans="1:22" s="7" customFormat="1" x14ac:dyDescent="0.3">
      <c r="A3" s="6" t="s">
        <v>36</v>
      </c>
      <c r="B3" s="6">
        <v>75</v>
      </c>
      <c r="C3" s="6">
        <v>33</v>
      </c>
      <c r="D3" s="6">
        <v>20</v>
      </c>
      <c r="E3" s="6">
        <v>10</v>
      </c>
      <c r="F3" s="6">
        <v>7</v>
      </c>
      <c r="G3" s="6">
        <v>1</v>
      </c>
      <c r="H3" s="6">
        <v>4500</v>
      </c>
      <c r="I3" s="6">
        <v>29.6</v>
      </c>
      <c r="J3" s="6">
        <v>24.5</v>
      </c>
      <c r="K3" s="6">
        <v>14.36</v>
      </c>
      <c r="L3" s="6">
        <v>30</v>
      </c>
      <c r="M3" s="6">
        <v>-4.96</v>
      </c>
      <c r="N3" s="6">
        <v>-0.14399999999999999</v>
      </c>
      <c r="O3" s="6">
        <v>2.4</v>
      </c>
      <c r="P3" s="6">
        <v>0.9</v>
      </c>
      <c r="Q3" s="6">
        <v>0.04</v>
      </c>
      <c r="R3" s="6">
        <v>0.04</v>
      </c>
      <c r="S3" s="6">
        <v>0.61</v>
      </c>
      <c r="T3" s="6">
        <v>0.41</v>
      </c>
      <c r="U3" s="6">
        <v>45</v>
      </c>
      <c r="V3" s="6">
        <v>100</v>
      </c>
    </row>
    <row r="4" spans="1:22" s="7" customFormat="1" x14ac:dyDescent="0.3">
      <c r="A4" s="6" t="s">
        <v>38</v>
      </c>
      <c r="B4" s="6">
        <v>75</v>
      </c>
      <c r="C4" s="6">
        <v>33</v>
      </c>
      <c r="D4" s="6">
        <v>20</v>
      </c>
      <c r="E4" s="6">
        <v>10</v>
      </c>
      <c r="F4" s="6">
        <v>7</v>
      </c>
      <c r="G4" s="6">
        <v>1</v>
      </c>
      <c r="H4" s="6">
        <v>4000</v>
      </c>
      <c r="I4" s="6">
        <v>29.6</v>
      </c>
      <c r="J4" s="6">
        <v>24.5</v>
      </c>
      <c r="K4" s="6">
        <v>14.36</v>
      </c>
      <c r="L4" s="6">
        <v>30</v>
      </c>
      <c r="M4" s="6">
        <v>-4.96</v>
      </c>
      <c r="N4" s="6">
        <v>-0.14399999999999999</v>
      </c>
      <c r="O4" s="6">
        <v>2.4</v>
      </c>
      <c r="P4" s="6">
        <v>0.9</v>
      </c>
      <c r="Q4" s="6">
        <v>0.04</v>
      </c>
      <c r="R4" s="6">
        <v>0.04</v>
      </c>
      <c r="S4" s="6">
        <v>0.61</v>
      </c>
      <c r="T4" s="6">
        <v>0.41</v>
      </c>
      <c r="U4" s="6">
        <v>45</v>
      </c>
      <c r="V4" s="6">
        <v>100</v>
      </c>
    </row>
    <row r="5" spans="1:22" s="7" customFormat="1" x14ac:dyDescent="0.3">
      <c r="A5" s="6" t="s">
        <v>39</v>
      </c>
      <c r="B5" s="6">
        <v>75</v>
      </c>
      <c r="C5" s="6">
        <v>33</v>
      </c>
      <c r="D5" s="6">
        <v>20</v>
      </c>
      <c r="E5" s="6">
        <v>10</v>
      </c>
      <c r="F5" s="6">
        <v>7</v>
      </c>
      <c r="G5" s="6">
        <v>1</v>
      </c>
      <c r="H5" s="6">
        <v>3500</v>
      </c>
      <c r="I5" s="6">
        <v>29.6</v>
      </c>
      <c r="J5" s="6">
        <v>24.5</v>
      </c>
      <c r="K5" s="6">
        <v>14.36</v>
      </c>
      <c r="L5" s="6">
        <v>30</v>
      </c>
      <c r="M5" s="6">
        <v>-4.96</v>
      </c>
      <c r="N5" s="6">
        <v>-0.14399999999999999</v>
      </c>
      <c r="O5" s="6">
        <v>2.4</v>
      </c>
      <c r="P5" s="6">
        <v>0.9</v>
      </c>
      <c r="Q5" s="6">
        <v>0.04</v>
      </c>
      <c r="R5" s="6">
        <v>0.04</v>
      </c>
      <c r="S5" s="6">
        <v>0.61</v>
      </c>
      <c r="T5" s="6">
        <v>0.41</v>
      </c>
      <c r="U5" s="6">
        <v>45</v>
      </c>
      <c r="V5" s="6">
        <v>100</v>
      </c>
    </row>
    <row r="6" spans="1:22" s="7" customFormat="1" x14ac:dyDescent="0.3">
      <c r="A6" s="6" t="s">
        <v>40</v>
      </c>
      <c r="B6" s="6">
        <v>75</v>
      </c>
      <c r="C6" s="6">
        <v>33</v>
      </c>
      <c r="D6" s="6">
        <v>20</v>
      </c>
      <c r="E6" s="6">
        <v>10</v>
      </c>
      <c r="F6" s="6">
        <v>7</v>
      </c>
      <c r="G6" s="6">
        <v>1</v>
      </c>
      <c r="H6" s="6">
        <v>3000</v>
      </c>
      <c r="I6" s="6">
        <v>29.6</v>
      </c>
      <c r="J6" s="6">
        <v>24.5</v>
      </c>
      <c r="K6" s="6">
        <v>14.36</v>
      </c>
      <c r="L6" s="6">
        <v>30</v>
      </c>
      <c r="M6" s="6">
        <v>-4.96</v>
      </c>
      <c r="N6" s="6">
        <v>-0.14399999999999999</v>
      </c>
      <c r="O6" s="6">
        <v>2.4</v>
      </c>
      <c r="P6" s="6">
        <v>0.9</v>
      </c>
      <c r="Q6" s="6">
        <v>0.04</v>
      </c>
      <c r="R6" s="6">
        <v>0.04</v>
      </c>
      <c r="S6" s="6">
        <v>0.61</v>
      </c>
      <c r="T6" s="6">
        <v>0.41</v>
      </c>
      <c r="U6" s="6">
        <v>45</v>
      </c>
      <c r="V6" s="6">
        <v>100</v>
      </c>
    </row>
    <row r="7" spans="1:22" s="7" customFormat="1" x14ac:dyDescent="0.3">
      <c r="A7" s="6" t="s">
        <v>41</v>
      </c>
      <c r="B7" s="6">
        <v>75</v>
      </c>
      <c r="C7" s="6">
        <v>33</v>
      </c>
      <c r="D7" s="6">
        <v>20</v>
      </c>
      <c r="E7" s="6">
        <v>10</v>
      </c>
      <c r="F7" s="6">
        <v>7</v>
      </c>
      <c r="G7" s="6">
        <v>1</v>
      </c>
      <c r="H7" s="6">
        <v>2500</v>
      </c>
      <c r="I7" s="6">
        <v>29.6</v>
      </c>
      <c r="J7" s="6">
        <v>24.5</v>
      </c>
      <c r="K7" s="6">
        <v>14.36</v>
      </c>
      <c r="L7" s="6">
        <v>30</v>
      </c>
      <c r="M7" s="6">
        <v>-4.96</v>
      </c>
      <c r="N7" s="6">
        <v>-0.14399999999999999</v>
      </c>
      <c r="O7" s="6">
        <v>2.4</v>
      </c>
      <c r="P7" s="6">
        <v>0.9</v>
      </c>
      <c r="Q7" s="6">
        <v>0.04</v>
      </c>
      <c r="R7" s="6">
        <v>0.04</v>
      </c>
      <c r="S7" s="6">
        <v>0.61</v>
      </c>
      <c r="T7" s="6">
        <v>0.41</v>
      </c>
      <c r="U7" s="6">
        <v>45</v>
      </c>
      <c r="V7" s="6">
        <v>100</v>
      </c>
    </row>
    <row r="8" spans="1:22" s="7" customFormat="1" x14ac:dyDescent="0.3">
      <c r="A8" s="6" t="s">
        <v>42</v>
      </c>
      <c r="B8" s="6">
        <v>75</v>
      </c>
      <c r="C8" s="6">
        <v>33</v>
      </c>
      <c r="D8" s="6">
        <v>20</v>
      </c>
      <c r="E8" s="6">
        <v>10</v>
      </c>
      <c r="F8" s="6">
        <v>7</v>
      </c>
      <c r="G8" s="6">
        <v>1</v>
      </c>
      <c r="H8" s="6">
        <v>2000</v>
      </c>
      <c r="I8" s="6">
        <v>29.6</v>
      </c>
      <c r="J8" s="6">
        <v>24.5</v>
      </c>
      <c r="K8" s="6">
        <v>14.36</v>
      </c>
      <c r="L8" s="6">
        <v>30</v>
      </c>
      <c r="M8" s="6">
        <v>-4.96</v>
      </c>
      <c r="N8" s="6">
        <v>-0.14399999999999999</v>
      </c>
      <c r="O8" s="6">
        <v>2.4</v>
      </c>
      <c r="P8" s="6">
        <v>0.9</v>
      </c>
      <c r="Q8" s="6">
        <v>0.04</v>
      </c>
      <c r="R8" s="6">
        <v>0.04</v>
      </c>
      <c r="S8" s="6">
        <v>0.61</v>
      </c>
      <c r="T8" s="6">
        <v>0.41</v>
      </c>
      <c r="U8" s="6">
        <v>45</v>
      </c>
      <c r="V8" s="6">
        <v>100</v>
      </c>
    </row>
    <row r="9" spans="1:22" s="9" customFormat="1" x14ac:dyDescent="0.3">
      <c r="A9" s="8" t="s">
        <v>43</v>
      </c>
      <c r="B9" s="8">
        <v>75</v>
      </c>
      <c r="C9" s="8">
        <v>33</v>
      </c>
      <c r="D9" s="8">
        <v>20</v>
      </c>
      <c r="E9" s="8">
        <v>10</v>
      </c>
      <c r="F9" s="8">
        <v>7</v>
      </c>
      <c r="G9" s="8">
        <v>1</v>
      </c>
      <c r="H9" s="8">
        <v>7000</v>
      </c>
      <c r="I9" s="8">
        <v>29.6</v>
      </c>
      <c r="J9" s="8">
        <v>24.5</v>
      </c>
      <c r="K9" s="8">
        <v>14.36</v>
      </c>
      <c r="L9" s="8">
        <v>30</v>
      </c>
      <c r="M9" s="8">
        <v>-4.96</v>
      </c>
      <c r="N9" s="8">
        <v>-0.14399999999999999</v>
      </c>
      <c r="O9" s="8">
        <v>2.4</v>
      </c>
      <c r="P9" s="8">
        <v>0.9</v>
      </c>
      <c r="Q9" s="8">
        <v>0.04</v>
      </c>
      <c r="R9" s="8">
        <v>0.04</v>
      </c>
      <c r="S9" s="8">
        <v>0.61</v>
      </c>
      <c r="T9" s="8">
        <v>0.41</v>
      </c>
      <c r="U9" s="8">
        <v>45</v>
      </c>
      <c r="V9" s="8">
        <v>100</v>
      </c>
    </row>
    <row r="10" spans="1:22" s="9" customFormat="1" x14ac:dyDescent="0.3">
      <c r="A10" s="8" t="s">
        <v>44</v>
      </c>
      <c r="B10" s="8">
        <v>75</v>
      </c>
      <c r="C10" s="8">
        <v>33</v>
      </c>
      <c r="D10" s="8">
        <v>20</v>
      </c>
      <c r="E10" s="8">
        <v>10</v>
      </c>
      <c r="F10" s="8">
        <v>7</v>
      </c>
      <c r="G10" s="8">
        <v>1</v>
      </c>
      <c r="H10" s="8">
        <v>6000</v>
      </c>
      <c r="I10" s="8">
        <v>29.6</v>
      </c>
      <c r="J10" s="8">
        <v>24.5</v>
      </c>
      <c r="K10" s="8">
        <v>14.36</v>
      </c>
      <c r="L10" s="8">
        <v>30</v>
      </c>
      <c r="M10" s="8">
        <v>-4.96</v>
      </c>
      <c r="N10" s="8">
        <v>-0.14399999999999999</v>
      </c>
      <c r="O10" s="8">
        <v>2.4</v>
      </c>
      <c r="P10" s="8">
        <v>0.9</v>
      </c>
      <c r="Q10" s="8">
        <v>0.04</v>
      </c>
      <c r="R10" s="8">
        <v>0.04</v>
      </c>
      <c r="S10" s="8">
        <v>0.61</v>
      </c>
      <c r="T10" s="8">
        <v>0.41</v>
      </c>
      <c r="U10" s="8">
        <v>45</v>
      </c>
      <c r="V10" s="8">
        <v>100</v>
      </c>
    </row>
    <row r="11" spans="1:22" x14ac:dyDescent="0.3">
      <c r="A11" s="5" t="s">
        <v>45</v>
      </c>
      <c r="B11" s="5">
        <v>75</v>
      </c>
      <c r="C11" s="5">
        <v>33</v>
      </c>
      <c r="D11" s="5">
        <v>20</v>
      </c>
      <c r="E11" s="5">
        <v>12.5</v>
      </c>
      <c r="F11" s="5">
        <v>7</v>
      </c>
      <c r="G11" s="5">
        <v>1</v>
      </c>
      <c r="H11" s="5">
        <v>4500</v>
      </c>
      <c r="I11" s="5">
        <v>45</v>
      </c>
      <c r="J11" s="5">
        <v>30</v>
      </c>
      <c r="K11" s="5">
        <v>15</v>
      </c>
      <c r="L11" s="5">
        <v>18.350000000000001</v>
      </c>
      <c r="M11" s="5">
        <v>-2</v>
      </c>
      <c r="N11" s="5">
        <v>2</v>
      </c>
      <c r="O11" s="5">
        <v>2</v>
      </c>
      <c r="P11" s="5">
        <v>0.8</v>
      </c>
      <c r="Q11" s="5">
        <v>0.06</v>
      </c>
      <c r="R11" s="5">
        <v>0.06</v>
      </c>
      <c r="S11" s="5">
        <v>0.6</v>
      </c>
      <c r="T11" s="5">
        <v>0.3</v>
      </c>
      <c r="U11" s="5">
        <v>66</v>
      </c>
      <c r="V11" s="5">
        <v>10</v>
      </c>
    </row>
    <row r="12" spans="1:22" x14ac:dyDescent="0.3">
      <c r="A12" s="5" t="s">
        <v>47</v>
      </c>
      <c r="B12" s="5">
        <v>75</v>
      </c>
      <c r="C12" s="5">
        <v>33</v>
      </c>
      <c r="D12" s="5">
        <v>20</v>
      </c>
      <c r="E12" s="5">
        <v>12.5</v>
      </c>
      <c r="F12" s="5">
        <v>7</v>
      </c>
      <c r="G12" s="5">
        <v>1</v>
      </c>
      <c r="H12" s="5">
        <v>4000</v>
      </c>
      <c r="I12" s="5">
        <v>45</v>
      </c>
      <c r="J12" s="5">
        <v>30</v>
      </c>
      <c r="K12" s="5">
        <v>15</v>
      </c>
      <c r="L12" s="5">
        <v>18.350000000000001</v>
      </c>
      <c r="M12" s="5">
        <v>-2</v>
      </c>
      <c r="N12" s="5">
        <v>2</v>
      </c>
      <c r="O12" s="5">
        <v>2</v>
      </c>
      <c r="P12" s="5">
        <v>0.8</v>
      </c>
      <c r="Q12" s="5">
        <v>0.06</v>
      </c>
      <c r="R12" s="5">
        <v>0.06</v>
      </c>
      <c r="S12" s="5">
        <v>0.6</v>
      </c>
      <c r="T12" s="5">
        <v>0.3</v>
      </c>
      <c r="U12" s="5">
        <v>66</v>
      </c>
      <c r="V12" s="5">
        <v>10</v>
      </c>
    </row>
    <row r="13" spans="1:22" x14ac:dyDescent="0.3">
      <c r="A13" s="5" t="s">
        <v>48</v>
      </c>
      <c r="B13" s="5">
        <v>75</v>
      </c>
      <c r="C13" s="5">
        <v>33</v>
      </c>
      <c r="D13" s="5">
        <v>20</v>
      </c>
      <c r="E13" s="5">
        <v>12.5</v>
      </c>
      <c r="F13" s="5">
        <v>7</v>
      </c>
      <c r="G13" s="5">
        <v>1</v>
      </c>
      <c r="H13" s="5">
        <v>3500</v>
      </c>
      <c r="I13" s="5">
        <v>45</v>
      </c>
      <c r="J13" s="5">
        <v>30</v>
      </c>
      <c r="K13" s="5">
        <v>15</v>
      </c>
      <c r="L13" s="5">
        <v>18.350000000000001</v>
      </c>
      <c r="M13" s="5">
        <v>-2</v>
      </c>
      <c r="N13" s="5">
        <v>2</v>
      </c>
      <c r="O13" s="5">
        <v>2</v>
      </c>
      <c r="P13" s="5">
        <v>0.8</v>
      </c>
      <c r="Q13" s="5">
        <v>0.06</v>
      </c>
      <c r="R13" s="5">
        <v>0.06</v>
      </c>
      <c r="S13" s="5">
        <v>0.6</v>
      </c>
      <c r="T13" s="5">
        <v>0.3</v>
      </c>
      <c r="U13" s="5">
        <v>66</v>
      </c>
      <c r="V13" s="5">
        <v>10</v>
      </c>
    </row>
    <row r="14" spans="1:22" x14ac:dyDescent="0.3">
      <c r="A14" s="5" t="s">
        <v>49</v>
      </c>
      <c r="B14" s="5">
        <v>75</v>
      </c>
      <c r="C14" s="5">
        <v>33</v>
      </c>
      <c r="D14" s="5">
        <v>20</v>
      </c>
      <c r="E14" s="5">
        <v>12.5</v>
      </c>
      <c r="F14" s="5">
        <v>7</v>
      </c>
      <c r="G14" s="5">
        <v>1</v>
      </c>
      <c r="H14" s="5">
        <v>3000</v>
      </c>
      <c r="I14" s="5">
        <v>45</v>
      </c>
      <c r="J14" s="5">
        <v>30</v>
      </c>
      <c r="K14" s="5">
        <v>15</v>
      </c>
      <c r="L14" s="5">
        <v>18.350000000000001</v>
      </c>
      <c r="M14" s="5">
        <v>-2</v>
      </c>
      <c r="N14" s="5">
        <v>2</v>
      </c>
      <c r="O14" s="5">
        <v>2</v>
      </c>
      <c r="P14" s="5">
        <v>0.8</v>
      </c>
      <c r="Q14" s="5">
        <v>0.06</v>
      </c>
      <c r="R14" s="5">
        <v>0.06</v>
      </c>
      <c r="S14" s="5">
        <v>0.6</v>
      </c>
      <c r="T14" s="5">
        <v>0.3</v>
      </c>
      <c r="U14" s="5">
        <v>66</v>
      </c>
      <c r="V14" s="5">
        <v>10</v>
      </c>
    </row>
    <row r="15" spans="1:22" x14ac:dyDescent="0.3">
      <c r="A15" s="5" t="s">
        <v>50</v>
      </c>
      <c r="B15" s="5">
        <v>75</v>
      </c>
      <c r="C15" s="5">
        <v>33</v>
      </c>
      <c r="D15" s="5">
        <v>20</v>
      </c>
      <c r="E15" s="5">
        <v>12.5</v>
      </c>
      <c r="F15" s="5">
        <v>7</v>
      </c>
      <c r="G15" s="5">
        <v>1</v>
      </c>
      <c r="H15" s="5">
        <v>2500</v>
      </c>
      <c r="I15" s="5">
        <v>45</v>
      </c>
      <c r="J15" s="5">
        <v>30</v>
      </c>
      <c r="K15" s="5">
        <v>15</v>
      </c>
      <c r="L15" s="5">
        <v>18.350000000000001</v>
      </c>
      <c r="M15" s="5">
        <v>-2</v>
      </c>
      <c r="N15" s="5">
        <v>2</v>
      </c>
      <c r="O15" s="5">
        <v>2</v>
      </c>
      <c r="P15" s="5">
        <v>0.8</v>
      </c>
      <c r="Q15" s="5">
        <v>0.06</v>
      </c>
      <c r="R15" s="5">
        <v>0.06</v>
      </c>
      <c r="S15" s="5">
        <v>0.6</v>
      </c>
      <c r="T15" s="5">
        <v>0.3</v>
      </c>
      <c r="U15" s="5">
        <v>66</v>
      </c>
      <c r="V15" s="5">
        <v>10</v>
      </c>
    </row>
    <row r="16" spans="1:22" x14ac:dyDescent="0.3">
      <c r="A16" s="5" t="s">
        <v>51</v>
      </c>
      <c r="B16" s="5">
        <v>75</v>
      </c>
      <c r="C16" s="5">
        <v>33</v>
      </c>
      <c r="D16" s="5">
        <v>20</v>
      </c>
      <c r="E16" s="5">
        <v>12.5</v>
      </c>
      <c r="F16" s="5">
        <v>7</v>
      </c>
      <c r="G16" s="5">
        <v>1</v>
      </c>
      <c r="H16" s="5">
        <v>2000</v>
      </c>
      <c r="I16" s="5">
        <v>45</v>
      </c>
      <c r="J16" s="5">
        <v>30</v>
      </c>
      <c r="K16" s="5">
        <v>15</v>
      </c>
      <c r="L16" s="5">
        <v>18.350000000000001</v>
      </c>
      <c r="M16" s="5">
        <v>-2</v>
      </c>
      <c r="N16" s="5">
        <v>2</v>
      </c>
      <c r="O16" s="5">
        <v>2</v>
      </c>
      <c r="P16" s="5">
        <v>0.8</v>
      </c>
      <c r="Q16" s="5">
        <v>0.06</v>
      </c>
      <c r="R16" s="5">
        <v>0.06</v>
      </c>
      <c r="S16" s="5">
        <v>0.6</v>
      </c>
      <c r="T16" s="5">
        <v>0.3</v>
      </c>
      <c r="U16" s="5">
        <v>66</v>
      </c>
      <c r="V16" s="5">
        <v>10</v>
      </c>
    </row>
    <row r="17" spans="1:22" x14ac:dyDescent="0.3">
      <c r="A17" s="5" t="s">
        <v>52</v>
      </c>
      <c r="B17" s="5">
        <v>75</v>
      </c>
      <c r="C17" s="5">
        <v>33</v>
      </c>
      <c r="D17" s="5">
        <v>20</v>
      </c>
      <c r="E17" s="5">
        <v>12.5</v>
      </c>
      <c r="F17" s="5">
        <v>9</v>
      </c>
      <c r="G17" s="5">
        <v>1</v>
      </c>
      <c r="H17" s="5">
        <v>4500</v>
      </c>
      <c r="I17" s="5">
        <v>50</v>
      </c>
      <c r="J17" s="5">
        <v>29</v>
      </c>
      <c r="K17" s="5">
        <v>13.71</v>
      </c>
      <c r="L17" s="5">
        <v>21.65</v>
      </c>
      <c r="M17" s="5">
        <v>-2</v>
      </c>
      <c r="N17" s="5">
        <v>2</v>
      </c>
      <c r="O17" s="5">
        <v>2</v>
      </c>
      <c r="P17" s="5">
        <v>0.8</v>
      </c>
      <c r="Q17" s="5">
        <v>0.06</v>
      </c>
      <c r="R17" s="5">
        <v>0.06</v>
      </c>
      <c r="S17" s="5">
        <v>0.6</v>
      </c>
      <c r="T17" s="5">
        <v>0.3</v>
      </c>
      <c r="U17" s="5">
        <v>66</v>
      </c>
      <c r="V17" s="5">
        <v>10</v>
      </c>
    </row>
    <row r="18" spans="1:22" x14ac:dyDescent="0.3">
      <c r="A18" s="5" t="s">
        <v>53</v>
      </c>
      <c r="B18" s="5">
        <v>75</v>
      </c>
      <c r="C18" s="5">
        <v>33</v>
      </c>
      <c r="D18" s="5">
        <v>20</v>
      </c>
      <c r="E18" s="5">
        <v>12.5</v>
      </c>
      <c r="F18" s="5">
        <v>9</v>
      </c>
      <c r="G18" s="5">
        <v>1</v>
      </c>
      <c r="H18" s="5">
        <v>4000</v>
      </c>
      <c r="I18" s="5">
        <v>50</v>
      </c>
      <c r="J18" s="5">
        <v>29</v>
      </c>
      <c r="K18" s="5">
        <v>13.71</v>
      </c>
      <c r="L18" s="5">
        <v>21.65</v>
      </c>
      <c r="M18" s="5">
        <v>-2</v>
      </c>
      <c r="N18" s="5">
        <v>2</v>
      </c>
      <c r="O18" s="5">
        <v>2</v>
      </c>
      <c r="P18" s="5">
        <v>0.8</v>
      </c>
      <c r="Q18" s="5">
        <v>0.06</v>
      </c>
      <c r="R18" s="5">
        <v>0.06</v>
      </c>
      <c r="S18" s="5">
        <v>0.6</v>
      </c>
      <c r="T18" s="5">
        <v>0.3</v>
      </c>
      <c r="U18" s="5">
        <v>66</v>
      </c>
      <c r="V18" s="5">
        <v>10</v>
      </c>
    </row>
    <row r="19" spans="1:22" x14ac:dyDescent="0.3">
      <c r="A19" s="5" t="s">
        <v>54</v>
      </c>
      <c r="B19" s="5">
        <v>75</v>
      </c>
      <c r="C19" s="5">
        <v>33</v>
      </c>
      <c r="D19" s="5">
        <v>20</v>
      </c>
      <c r="E19" s="5">
        <v>12.5</v>
      </c>
      <c r="F19" s="5">
        <v>9</v>
      </c>
      <c r="G19" s="5">
        <v>1</v>
      </c>
      <c r="H19" s="5">
        <v>3500</v>
      </c>
      <c r="I19" s="5">
        <v>50</v>
      </c>
      <c r="J19" s="5">
        <v>29</v>
      </c>
      <c r="K19" s="5">
        <v>13.71</v>
      </c>
      <c r="L19" s="5">
        <v>21.65</v>
      </c>
      <c r="M19" s="5">
        <v>-2</v>
      </c>
      <c r="N19" s="5">
        <v>2</v>
      </c>
      <c r="O19" s="5">
        <v>2</v>
      </c>
      <c r="P19" s="5">
        <v>0.8</v>
      </c>
      <c r="Q19" s="5">
        <v>0.06</v>
      </c>
      <c r="R19" s="5">
        <v>0.06</v>
      </c>
      <c r="S19" s="5">
        <v>0.6</v>
      </c>
      <c r="T19" s="5">
        <v>0.3</v>
      </c>
      <c r="U19" s="5">
        <v>66</v>
      </c>
      <c r="V19" s="5">
        <v>10</v>
      </c>
    </row>
    <row r="20" spans="1:22" x14ac:dyDescent="0.3">
      <c r="A20" s="5" t="s">
        <v>56</v>
      </c>
      <c r="B20" s="5">
        <v>75</v>
      </c>
      <c r="C20" s="5">
        <v>33</v>
      </c>
      <c r="D20" s="5">
        <v>20</v>
      </c>
      <c r="E20" s="5">
        <v>12.5</v>
      </c>
      <c r="F20" s="5">
        <v>9</v>
      </c>
      <c r="G20" s="5">
        <v>1</v>
      </c>
      <c r="H20" s="5">
        <v>3000</v>
      </c>
      <c r="I20" s="5">
        <v>50</v>
      </c>
      <c r="J20" s="5">
        <v>29</v>
      </c>
      <c r="K20" s="5">
        <v>13.71</v>
      </c>
      <c r="L20" s="5">
        <v>21.65</v>
      </c>
      <c r="M20" s="5">
        <v>-2</v>
      </c>
      <c r="N20" s="5">
        <v>2</v>
      </c>
      <c r="O20" s="5">
        <v>2</v>
      </c>
      <c r="P20" s="5">
        <v>0.8</v>
      </c>
      <c r="Q20" s="5">
        <v>0.06</v>
      </c>
      <c r="R20" s="5">
        <v>0.06</v>
      </c>
      <c r="S20" s="5">
        <v>0.6</v>
      </c>
      <c r="T20" s="5">
        <v>0.3</v>
      </c>
      <c r="U20" s="5">
        <v>66</v>
      </c>
      <c r="V20" s="5">
        <v>10</v>
      </c>
    </row>
    <row r="21" spans="1:22" x14ac:dyDescent="0.3">
      <c r="A21" s="5" t="s">
        <v>57</v>
      </c>
      <c r="B21" s="5">
        <v>75</v>
      </c>
      <c r="C21" s="5">
        <v>33</v>
      </c>
      <c r="D21" s="5">
        <v>20</v>
      </c>
      <c r="E21" s="5">
        <v>12.5</v>
      </c>
      <c r="F21" s="5">
        <v>9</v>
      </c>
      <c r="G21" s="5">
        <v>1</v>
      </c>
      <c r="H21" s="5">
        <v>2500</v>
      </c>
      <c r="I21" s="5">
        <v>50</v>
      </c>
      <c r="J21" s="5">
        <v>29</v>
      </c>
      <c r="K21" s="5">
        <v>13.71</v>
      </c>
      <c r="L21" s="5">
        <v>21.65</v>
      </c>
      <c r="M21" s="5">
        <v>-2</v>
      </c>
      <c r="N21" s="5">
        <v>2</v>
      </c>
      <c r="O21" s="5">
        <v>2</v>
      </c>
      <c r="P21" s="5">
        <v>0.8</v>
      </c>
      <c r="Q21" s="5">
        <v>0.06</v>
      </c>
      <c r="R21" s="5">
        <v>0.06</v>
      </c>
      <c r="S21" s="5">
        <v>0.6</v>
      </c>
      <c r="T21" s="5">
        <v>0.3</v>
      </c>
      <c r="U21" s="5">
        <v>66</v>
      </c>
      <c r="V21" s="5">
        <v>10</v>
      </c>
    </row>
    <row r="22" spans="1:22" x14ac:dyDescent="0.3">
      <c r="A22" s="5" t="s">
        <v>58</v>
      </c>
      <c r="B22" s="5">
        <v>75</v>
      </c>
      <c r="C22" s="5">
        <v>33</v>
      </c>
      <c r="D22" s="5">
        <v>20</v>
      </c>
      <c r="E22" s="5">
        <v>12.5</v>
      </c>
      <c r="F22" s="5">
        <v>9</v>
      </c>
      <c r="G22" s="5">
        <v>1</v>
      </c>
      <c r="H22" s="5">
        <v>2000</v>
      </c>
      <c r="I22" s="5">
        <v>50</v>
      </c>
      <c r="J22" s="5">
        <v>29</v>
      </c>
      <c r="K22" s="5">
        <v>13.71</v>
      </c>
      <c r="L22" s="5">
        <v>21.65</v>
      </c>
      <c r="M22" s="5">
        <v>-2</v>
      </c>
      <c r="N22" s="5">
        <v>2</v>
      </c>
      <c r="O22" s="5">
        <v>2</v>
      </c>
      <c r="P22" s="5">
        <v>0.8</v>
      </c>
      <c r="Q22" s="5">
        <v>0.06</v>
      </c>
      <c r="R22" s="5">
        <v>0.06</v>
      </c>
      <c r="S22" s="5">
        <v>0.6</v>
      </c>
      <c r="T22" s="5">
        <v>0.3</v>
      </c>
      <c r="U22" s="5">
        <v>66</v>
      </c>
      <c r="V22" s="5">
        <v>10</v>
      </c>
    </row>
    <row r="23" spans="1:22" x14ac:dyDescent="0.3">
      <c r="A23" s="5" t="s">
        <v>59</v>
      </c>
      <c r="B23" s="5">
        <v>75</v>
      </c>
      <c r="C23" s="5">
        <v>33</v>
      </c>
      <c r="D23" s="5">
        <v>20</v>
      </c>
      <c r="E23" s="5">
        <v>12.5</v>
      </c>
      <c r="F23" s="5">
        <v>7</v>
      </c>
      <c r="G23" s="5">
        <v>1</v>
      </c>
      <c r="H23" s="5">
        <v>4500</v>
      </c>
      <c r="I23" s="5">
        <v>45</v>
      </c>
      <c r="J23" s="5">
        <v>30</v>
      </c>
      <c r="K23" s="5">
        <v>15</v>
      </c>
      <c r="L23" s="5">
        <v>24.2</v>
      </c>
      <c r="M23" s="5">
        <v>-2</v>
      </c>
      <c r="N23" s="5">
        <v>2</v>
      </c>
      <c r="O23" s="5">
        <v>2</v>
      </c>
      <c r="P23" s="5">
        <v>0.8</v>
      </c>
      <c r="Q23" s="5">
        <v>0.06</v>
      </c>
      <c r="R23" s="5">
        <v>0.06</v>
      </c>
      <c r="S23" s="5">
        <v>0.6</v>
      </c>
      <c r="T23" s="5">
        <v>0.3</v>
      </c>
      <c r="U23" s="5">
        <v>40</v>
      </c>
      <c r="V23" s="5">
        <v>10</v>
      </c>
    </row>
    <row r="24" spans="1:22" x14ac:dyDescent="0.3">
      <c r="A24" s="5" t="s">
        <v>60</v>
      </c>
      <c r="B24" s="5">
        <v>75</v>
      </c>
      <c r="C24" s="5">
        <v>33</v>
      </c>
      <c r="D24" s="5">
        <v>20</v>
      </c>
      <c r="E24" s="5">
        <v>12.5</v>
      </c>
      <c r="F24" s="5">
        <v>7</v>
      </c>
      <c r="G24" s="5">
        <v>1</v>
      </c>
      <c r="H24" s="5">
        <v>4000</v>
      </c>
      <c r="I24" s="5">
        <v>45</v>
      </c>
      <c r="J24" s="5">
        <v>30</v>
      </c>
      <c r="K24" s="5">
        <v>15</v>
      </c>
      <c r="L24" s="5">
        <v>24.2</v>
      </c>
      <c r="M24" s="5">
        <v>-2</v>
      </c>
      <c r="N24" s="5">
        <v>2</v>
      </c>
      <c r="O24" s="5">
        <v>2</v>
      </c>
      <c r="P24" s="5">
        <v>0.8</v>
      </c>
      <c r="Q24" s="5">
        <v>0.06</v>
      </c>
      <c r="R24" s="5">
        <v>0.06</v>
      </c>
      <c r="S24" s="5">
        <v>0.6</v>
      </c>
      <c r="T24" s="5">
        <v>0.3</v>
      </c>
      <c r="U24" s="5">
        <v>40</v>
      </c>
      <c r="V24" s="5">
        <v>10</v>
      </c>
    </row>
    <row r="25" spans="1:22" x14ac:dyDescent="0.3">
      <c r="A25" s="5" t="s">
        <v>61</v>
      </c>
      <c r="B25" s="5">
        <v>75</v>
      </c>
      <c r="C25" s="5">
        <v>33</v>
      </c>
      <c r="D25" s="5">
        <v>20</v>
      </c>
      <c r="E25" s="5">
        <v>12.5</v>
      </c>
      <c r="F25" s="5">
        <v>7</v>
      </c>
      <c r="G25" s="5">
        <v>1</v>
      </c>
      <c r="H25" s="5">
        <v>3500</v>
      </c>
      <c r="I25" s="5">
        <v>45</v>
      </c>
      <c r="J25" s="5">
        <v>30</v>
      </c>
      <c r="K25" s="5">
        <v>15</v>
      </c>
      <c r="L25" s="5">
        <v>24.2</v>
      </c>
      <c r="M25" s="5">
        <v>-2</v>
      </c>
      <c r="N25" s="5">
        <v>2</v>
      </c>
      <c r="O25" s="5">
        <v>2</v>
      </c>
      <c r="P25" s="5">
        <v>0.8</v>
      </c>
      <c r="Q25" s="5">
        <v>0.06</v>
      </c>
      <c r="R25" s="5">
        <v>0.06</v>
      </c>
      <c r="S25" s="5">
        <v>0.6</v>
      </c>
      <c r="T25" s="5">
        <v>0.3</v>
      </c>
      <c r="U25" s="5">
        <v>40</v>
      </c>
      <c r="V25" s="5">
        <v>10</v>
      </c>
    </row>
    <row r="26" spans="1:22" x14ac:dyDescent="0.3">
      <c r="A26" s="5" t="s">
        <v>62</v>
      </c>
      <c r="B26" s="5">
        <v>75</v>
      </c>
      <c r="C26" s="5">
        <v>33</v>
      </c>
      <c r="D26" s="5">
        <v>20</v>
      </c>
      <c r="E26" s="5">
        <v>12.5</v>
      </c>
      <c r="F26" s="5">
        <v>7</v>
      </c>
      <c r="G26" s="5">
        <v>1</v>
      </c>
      <c r="H26" s="5">
        <v>3000</v>
      </c>
      <c r="I26" s="5">
        <v>45</v>
      </c>
      <c r="J26" s="5">
        <v>30</v>
      </c>
      <c r="K26" s="5">
        <v>15</v>
      </c>
      <c r="L26" s="5">
        <v>24.2</v>
      </c>
      <c r="M26" s="5">
        <v>-2</v>
      </c>
      <c r="N26" s="5">
        <v>2</v>
      </c>
      <c r="O26" s="5">
        <v>2</v>
      </c>
      <c r="P26" s="5">
        <v>0.8</v>
      </c>
      <c r="Q26" s="5">
        <v>0.06</v>
      </c>
      <c r="R26" s="5">
        <v>0.06</v>
      </c>
      <c r="S26" s="5">
        <v>0.6</v>
      </c>
      <c r="T26" s="5">
        <v>0.3</v>
      </c>
      <c r="U26" s="5">
        <v>40</v>
      </c>
      <c r="V26" s="5">
        <v>10</v>
      </c>
    </row>
    <row r="27" spans="1:22" x14ac:dyDescent="0.3">
      <c r="A27" s="5" t="s">
        <v>63</v>
      </c>
      <c r="B27" s="5">
        <v>75</v>
      </c>
      <c r="C27" s="5">
        <v>33</v>
      </c>
      <c r="D27" s="5">
        <v>20</v>
      </c>
      <c r="E27" s="5">
        <v>12.5</v>
      </c>
      <c r="F27" s="5">
        <v>7</v>
      </c>
      <c r="G27" s="5">
        <v>1</v>
      </c>
      <c r="H27" s="5">
        <v>2500</v>
      </c>
      <c r="I27" s="5">
        <v>45</v>
      </c>
      <c r="J27" s="5">
        <v>30</v>
      </c>
      <c r="K27" s="5">
        <v>15</v>
      </c>
      <c r="L27" s="5">
        <v>24.2</v>
      </c>
      <c r="M27" s="5">
        <v>-2</v>
      </c>
      <c r="N27" s="5">
        <v>2</v>
      </c>
      <c r="O27" s="5">
        <v>2</v>
      </c>
      <c r="P27" s="5">
        <v>0.8</v>
      </c>
      <c r="Q27" s="5">
        <v>0.06</v>
      </c>
      <c r="R27" s="5">
        <v>0.06</v>
      </c>
      <c r="S27" s="5">
        <v>0.6</v>
      </c>
      <c r="T27" s="5">
        <v>0.3</v>
      </c>
      <c r="U27" s="5">
        <v>40</v>
      </c>
      <c r="V27" s="5">
        <v>10</v>
      </c>
    </row>
    <row r="28" spans="1:22" x14ac:dyDescent="0.3">
      <c r="A28" s="5" t="s">
        <v>65</v>
      </c>
      <c r="B28" s="5">
        <v>75</v>
      </c>
      <c r="C28" s="5">
        <v>33</v>
      </c>
      <c r="D28" s="5">
        <v>20</v>
      </c>
      <c r="E28" s="5">
        <v>12.5</v>
      </c>
      <c r="F28" s="5">
        <v>7</v>
      </c>
      <c r="G28" s="5">
        <v>1</v>
      </c>
      <c r="H28" s="5">
        <v>2000</v>
      </c>
      <c r="I28" s="5">
        <v>45</v>
      </c>
      <c r="J28" s="5">
        <v>30</v>
      </c>
      <c r="K28" s="5">
        <v>15</v>
      </c>
      <c r="L28" s="5">
        <v>24.2</v>
      </c>
      <c r="M28" s="5">
        <v>-2</v>
      </c>
      <c r="N28" s="5">
        <v>2</v>
      </c>
      <c r="O28" s="5">
        <v>2</v>
      </c>
      <c r="P28" s="5">
        <v>0.8</v>
      </c>
      <c r="Q28" s="5">
        <v>0.06</v>
      </c>
      <c r="R28" s="5">
        <v>0.06</v>
      </c>
      <c r="S28" s="5">
        <v>0.6</v>
      </c>
      <c r="T28" s="5">
        <v>0.3</v>
      </c>
      <c r="U28" s="5">
        <v>40</v>
      </c>
      <c r="V28" s="5">
        <v>10</v>
      </c>
    </row>
    <row r="29" spans="1:22" x14ac:dyDescent="0.3">
      <c r="A29" s="5" t="s">
        <v>66</v>
      </c>
      <c r="B29" s="5">
        <v>75</v>
      </c>
      <c r="C29" s="5">
        <v>28.88</v>
      </c>
      <c r="D29" s="5">
        <v>20</v>
      </c>
      <c r="E29" s="5">
        <v>12.5</v>
      </c>
      <c r="F29" s="5">
        <v>9</v>
      </c>
      <c r="G29" s="5">
        <v>1</v>
      </c>
      <c r="H29" s="5">
        <v>4500</v>
      </c>
      <c r="I29" s="5">
        <v>50</v>
      </c>
      <c r="J29" s="5">
        <v>29</v>
      </c>
      <c r="K29" s="5">
        <v>15</v>
      </c>
      <c r="L29" s="5">
        <v>18.350000000000001</v>
      </c>
      <c r="M29" s="5">
        <v>-1</v>
      </c>
      <c r="N29" s="5">
        <v>3</v>
      </c>
      <c r="O29" s="5">
        <v>2</v>
      </c>
      <c r="P29" s="5">
        <v>0.8</v>
      </c>
      <c r="Q29" s="5">
        <v>0.06</v>
      </c>
      <c r="R29" s="5">
        <v>0.06</v>
      </c>
      <c r="S29" s="5">
        <v>0.6</v>
      </c>
      <c r="T29" s="5">
        <v>0.3</v>
      </c>
      <c r="U29" s="5">
        <v>66</v>
      </c>
      <c r="V29" s="5">
        <v>10</v>
      </c>
    </row>
    <row r="30" spans="1:22" x14ac:dyDescent="0.3">
      <c r="A30" s="5" t="s">
        <v>67</v>
      </c>
      <c r="B30" s="5">
        <v>75</v>
      </c>
      <c r="C30" s="5">
        <v>28.88</v>
      </c>
      <c r="D30" s="5">
        <v>20</v>
      </c>
      <c r="E30" s="5">
        <v>12.5</v>
      </c>
      <c r="F30" s="5">
        <v>9</v>
      </c>
      <c r="G30" s="5">
        <v>1</v>
      </c>
      <c r="H30" s="5">
        <v>4000</v>
      </c>
      <c r="I30" s="5">
        <v>50</v>
      </c>
      <c r="J30" s="5">
        <v>29</v>
      </c>
      <c r="K30" s="5">
        <v>15</v>
      </c>
      <c r="L30" s="5">
        <v>18.350000000000001</v>
      </c>
      <c r="M30" s="5">
        <v>-1</v>
      </c>
      <c r="N30" s="5">
        <v>3</v>
      </c>
      <c r="O30" s="5">
        <v>2</v>
      </c>
      <c r="P30" s="5">
        <v>0.8</v>
      </c>
      <c r="Q30" s="5">
        <v>0.06</v>
      </c>
      <c r="R30" s="5">
        <v>0.06</v>
      </c>
      <c r="S30" s="5">
        <v>0.6</v>
      </c>
      <c r="T30" s="5">
        <v>0.3</v>
      </c>
      <c r="U30" s="5">
        <v>66</v>
      </c>
      <c r="V30" s="5">
        <v>10</v>
      </c>
    </row>
    <row r="31" spans="1:22" x14ac:dyDescent="0.3">
      <c r="A31" s="5" t="s">
        <v>68</v>
      </c>
      <c r="B31" s="5">
        <v>75</v>
      </c>
      <c r="C31" s="5">
        <v>28.88</v>
      </c>
      <c r="D31" s="5">
        <v>20</v>
      </c>
      <c r="E31" s="5">
        <v>12.5</v>
      </c>
      <c r="F31" s="5">
        <v>9</v>
      </c>
      <c r="G31" s="5">
        <v>1</v>
      </c>
      <c r="H31" s="5">
        <v>3500</v>
      </c>
      <c r="I31" s="5">
        <v>50</v>
      </c>
      <c r="J31" s="5">
        <v>29</v>
      </c>
      <c r="K31" s="5">
        <v>15</v>
      </c>
      <c r="L31" s="5">
        <v>18.350000000000001</v>
      </c>
      <c r="M31" s="5">
        <v>-1</v>
      </c>
      <c r="N31" s="5">
        <v>3</v>
      </c>
      <c r="O31" s="5">
        <v>2</v>
      </c>
      <c r="P31" s="5">
        <v>0.8</v>
      </c>
      <c r="Q31" s="5">
        <v>0.06</v>
      </c>
      <c r="R31" s="5">
        <v>0.06</v>
      </c>
      <c r="S31" s="5">
        <v>0.6</v>
      </c>
      <c r="T31" s="5">
        <v>0.3</v>
      </c>
      <c r="U31" s="5">
        <v>66</v>
      </c>
      <c r="V31" s="5">
        <v>10</v>
      </c>
    </row>
    <row r="32" spans="1:22" x14ac:dyDescent="0.3">
      <c r="A32" s="5" t="s">
        <v>69</v>
      </c>
      <c r="B32" s="5">
        <v>75</v>
      </c>
      <c r="C32" s="5">
        <v>28.88</v>
      </c>
      <c r="D32" s="5">
        <v>20</v>
      </c>
      <c r="E32" s="5">
        <v>12.5</v>
      </c>
      <c r="F32" s="5">
        <v>9</v>
      </c>
      <c r="G32" s="5">
        <v>1</v>
      </c>
      <c r="H32" s="5">
        <v>3000</v>
      </c>
      <c r="I32" s="5">
        <v>50</v>
      </c>
      <c r="J32" s="5">
        <v>29</v>
      </c>
      <c r="K32" s="5">
        <v>15</v>
      </c>
      <c r="L32" s="5">
        <v>18.350000000000001</v>
      </c>
      <c r="M32" s="5">
        <v>-1</v>
      </c>
      <c r="N32" s="5">
        <v>3</v>
      </c>
      <c r="O32" s="5">
        <v>2</v>
      </c>
      <c r="P32" s="5">
        <v>0.8</v>
      </c>
      <c r="Q32" s="5">
        <v>0.06</v>
      </c>
      <c r="R32" s="5">
        <v>0.06</v>
      </c>
      <c r="S32" s="5">
        <v>0.6</v>
      </c>
      <c r="T32" s="5">
        <v>0.3</v>
      </c>
      <c r="U32" s="5">
        <v>66</v>
      </c>
      <c r="V32" s="5">
        <v>10</v>
      </c>
    </row>
    <row r="33" spans="1:22" x14ac:dyDescent="0.3">
      <c r="A33" s="5" t="s">
        <v>70</v>
      </c>
      <c r="B33" s="5">
        <v>75</v>
      </c>
      <c r="C33" s="5">
        <v>28.88</v>
      </c>
      <c r="D33" s="5">
        <v>20</v>
      </c>
      <c r="E33" s="5">
        <v>12.5</v>
      </c>
      <c r="F33" s="5">
        <v>9</v>
      </c>
      <c r="G33" s="5">
        <v>1</v>
      </c>
      <c r="H33" s="5">
        <v>2500</v>
      </c>
      <c r="I33" s="5">
        <v>50</v>
      </c>
      <c r="J33" s="5">
        <v>29</v>
      </c>
      <c r="K33" s="5">
        <v>15</v>
      </c>
      <c r="L33" s="5">
        <v>18.350000000000001</v>
      </c>
      <c r="M33" s="5">
        <v>-1</v>
      </c>
      <c r="N33" s="5">
        <v>3</v>
      </c>
      <c r="O33" s="5">
        <v>2</v>
      </c>
      <c r="P33" s="5">
        <v>0.8</v>
      </c>
      <c r="Q33" s="5">
        <v>0.06</v>
      </c>
      <c r="R33" s="5">
        <v>0.06</v>
      </c>
      <c r="S33" s="5">
        <v>0.6</v>
      </c>
      <c r="T33" s="5">
        <v>0.3</v>
      </c>
      <c r="U33" s="5">
        <v>66</v>
      </c>
      <c r="V33" s="5">
        <v>10</v>
      </c>
    </row>
    <row r="34" spans="1:22" x14ac:dyDescent="0.3">
      <c r="A34" s="5" t="s">
        <v>71</v>
      </c>
      <c r="B34" s="5">
        <v>75</v>
      </c>
      <c r="C34" s="5">
        <v>28.88</v>
      </c>
      <c r="D34" s="5">
        <v>20</v>
      </c>
      <c r="E34" s="5">
        <v>12.5</v>
      </c>
      <c r="F34" s="5">
        <v>9</v>
      </c>
      <c r="G34" s="5">
        <v>1</v>
      </c>
      <c r="H34" s="5">
        <v>2000</v>
      </c>
      <c r="I34" s="5">
        <v>50</v>
      </c>
      <c r="J34" s="5">
        <v>29</v>
      </c>
      <c r="K34" s="5">
        <v>15</v>
      </c>
      <c r="L34" s="5">
        <v>18.350000000000001</v>
      </c>
      <c r="M34" s="5">
        <v>-1</v>
      </c>
      <c r="N34" s="5">
        <v>3</v>
      </c>
      <c r="O34" s="5">
        <v>2</v>
      </c>
      <c r="P34" s="5">
        <v>0.8</v>
      </c>
      <c r="Q34" s="5">
        <v>0.06</v>
      </c>
      <c r="R34" s="5">
        <v>0.06</v>
      </c>
      <c r="S34" s="5">
        <v>0.6</v>
      </c>
      <c r="T34" s="5">
        <v>0.3</v>
      </c>
      <c r="U34" s="5">
        <v>66</v>
      </c>
      <c r="V34" s="5">
        <v>10</v>
      </c>
    </row>
  </sheetData>
  <autoFilter ref="A2:V2" xr:uid="{700E72AA-196F-48A5-A466-CDD7DD31F025}"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284F7-D854-4042-8250-D5D9BDC47B6D}">
  <dimension ref="A1:AT40"/>
  <sheetViews>
    <sheetView topLeftCell="V22" zoomScaleNormal="100" workbookViewId="0">
      <selection activeCell="X4" sqref="X4:Y4"/>
    </sheetView>
  </sheetViews>
  <sheetFormatPr defaultRowHeight="16.2" x14ac:dyDescent="0.3"/>
  <cols>
    <col min="1" max="1" width="19.44140625" bestFit="1" customWidth="1"/>
    <col min="2" max="2" width="14.21875" bestFit="1" customWidth="1"/>
    <col min="3" max="3" width="13.77734375" bestFit="1" customWidth="1"/>
    <col min="4" max="4" width="12.5546875" bestFit="1" customWidth="1"/>
    <col min="5" max="5" width="10.6640625" bestFit="1" customWidth="1"/>
    <col min="6" max="7" width="13.44140625" bestFit="1" customWidth="1"/>
    <col min="8" max="8" width="6" bestFit="1" customWidth="1"/>
    <col min="9" max="9" width="19" bestFit="1" customWidth="1"/>
    <col min="10" max="10" width="17.6640625" bestFit="1" customWidth="1"/>
    <col min="11" max="11" width="16.88671875" bestFit="1" customWidth="1"/>
    <col min="12" max="12" width="15.5546875" bestFit="1" customWidth="1"/>
    <col min="13" max="13" width="19.6640625" bestFit="1" customWidth="1"/>
    <col min="14" max="14" width="18.33203125" bestFit="1" customWidth="1"/>
    <col min="15" max="15" width="13.77734375" bestFit="1" customWidth="1"/>
    <col min="16" max="16" width="13.88671875" bestFit="1" customWidth="1"/>
    <col min="17" max="17" width="19.44140625" bestFit="1" customWidth="1"/>
    <col min="18" max="18" width="18.109375" bestFit="1" customWidth="1"/>
    <col min="19" max="19" width="19.44140625" bestFit="1" customWidth="1"/>
    <col min="20" max="20" width="18.109375" bestFit="1" customWidth="1"/>
    <col min="21" max="21" width="13.77734375" bestFit="1" customWidth="1"/>
    <col min="22" max="22" width="14.88671875" bestFit="1" customWidth="1"/>
  </cols>
  <sheetData>
    <row r="1" spans="1:4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8</v>
      </c>
      <c r="K1" s="2" t="s">
        <v>9</v>
      </c>
      <c r="L1" s="2" t="s">
        <v>9</v>
      </c>
      <c r="M1" s="2" t="s">
        <v>10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15</v>
      </c>
      <c r="U1" s="2" t="s">
        <v>16</v>
      </c>
      <c r="V1" s="2" t="s">
        <v>17</v>
      </c>
    </row>
    <row r="2" spans="1:46" x14ac:dyDescent="0.3">
      <c r="A2" s="1" t="s">
        <v>73</v>
      </c>
      <c r="B2" s="2" t="s">
        <v>18</v>
      </c>
      <c r="C2" s="2" t="s">
        <v>19</v>
      </c>
      <c r="D2" s="2" t="s">
        <v>20</v>
      </c>
      <c r="E2" s="3" t="s">
        <v>21</v>
      </c>
      <c r="F2" s="2" t="s">
        <v>22</v>
      </c>
      <c r="G2" s="2" t="s">
        <v>23</v>
      </c>
      <c r="H2" s="2" t="s">
        <v>75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  <c r="R2" s="2" t="s">
        <v>33</v>
      </c>
      <c r="S2" s="2" t="s">
        <v>32</v>
      </c>
      <c r="T2" s="2" t="s">
        <v>33</v>
      </c>
      <c r="U2" s="2" t="s">
        <v>34</v>
      </c>
      <c r="V2" s="2" t="s">
        <v>35</v>
      </c>
    </row>
    <row r="3" spans="1:46" x14ac:dyDescent="0.3">
      <c r="A3" s="4" t="s">
        <v>36</v>
      </c>
      <c r="B3" s="4">
        <v>75</v>
      </c>
      <c r="C3" s="4">
        <v>33</v>
      </c>
      <c r="D3" s="4">
        <v>20</v>
      </c>
      <c r="E3" s="4">
        <v>10</v>
      </c>
      <c r="F3" s="4">
        <v>7</v>
      </c>
      <c r="G3" s="4">
        <v>1</v>
      </c>
      <c r="H3" s="4">
        <v>4500</v>
      </c>
      <c r="I3" s="4">
        <v>29.6</v>
      </c>
      <c r="J3" s="4">
        <v>24.5</v>
      </c>
      <c r="K3" s="4">
        <v>14.36</v>
      </c>
      <c r="L3" s="4">
        <v>30</v>
      </c>
      <c r="M3" s="4">
        <v>-4.96</v>
      </c>
      <c r="N3" s="4">
        <v>-0.14399999999999999</v>
      </c>
      <c r="O3" s="4">
        <v>2.4</v>
      </c>
      <c r="P3" s="4">
        <v>0.9</v>
      </c>
      <c r="Q3" s="4">
        <v>0.04</v>
      </c>
      <c r="R3" s="4">
        <v>0.04</v>
      </c>
      <c r="S3" s="4">
        <v>0.61</v>
      </c>
      <c r="T3" s="4">
        <v>0.41</v>
      </c>
      <c r="U3" s="4">
        <v>45</v>
      </c>
      <c r="V3" s="4">
        <v>100</v>
      </c>
      <c r="X3" t="s">
        <v>37</v>
      </c>
    </row>
    <row r="4" spans="1:46" x14ac:dyDescent="0.3">
      <c r="A4" s="4" t="s">
        <v>38</v>
      </c>
      <c r="B4" s="4">
        <v>75</v>
      </c>
      <c r="C4" s="4">
        <v>33</v>
      </c>
      <c r="D4" s="4">
        <v>20</v>
      </c>
      <c r="E4" s="4">
        <v>10</v>
      </c>
      <c r="F4" s="4">
        <v>7</v>
      </c>
      <c r="G4" s="4">
        <v>1</v>
      </c>
      <c r="H4" s="4">
        <v>4000</v>
      </c>
      <c r="I4" s="4">
        <v>29.6</v>
      </c>
      <c r="J4" s="4">
        <v>24.5</v>
      </c>
      <c r="K4" s="4">
        <v>14.36</v>
      </c>
      <c r="L4" s="4">
        <v>30</v>
      </c>
      <c r="M4" s="4">
        <v>-4.96</v>
      </c>
      <c r="N4" s="4">
        <v>-0.14399999999999999</v>
      </c>
      <c r="O4" s="4">
        <v>2.4</v>
      </c>
      <c r="P4" s="4">
        <v>0.9</v>
      </c>
      <c r="Q4" s="4">
        <v>0.04</v>
      </c>
      <c r="R4" s="4">
        <v>0.04</v>
      </c>
      <c r="S4" s="4">
        <v>0.61</v>
      </c>
      <c r="T4" s="4">
        <v>0.41</v>
      </c>
      <c r="U4" s="4">
        <v>45</v>
      </c>
      <c r="V4" s="4">
        <v>100</v>
      </c>
      <c r="X4">
        <v>10.800405841853236</v>
      </c>
      <c r="Y4">
        <v>0</v>
      </c>
      <c r="Z4">
        <v>4500</v>
      </c>
      <c r="AB4">
        <f>X4/45/45*40*40</f>
        <v>8.5336539985013218</v>
      </c>
      <c r="AC4">
        <f>Y4/45*40</f>
        <v>0</v>
      </c>
      <c r="AD4">
        <v>4000</v>
      </c>
      <c r="AF4">
        <f>AB4/40/40*35*35</f>
        <v>6.5335788426025738</v>
      </c>
      <c r="AG4">
        <f>AC4/40*35</f>
        <v>0</v>
      </c>
      <c r="AH4">
        <v>3500</v>
      </c>
      <c r="AJ4">
        <f>AF4/35/35*30*30</f>
        <v>4.8001803741569935</v>
      </c>
      <c r="AK4">
        <f>AG4/35*30</f>
        <v>0</v>
      </c>
      <c r="AL4">
        <v>3000</v>
      </c>
      <c r="AN4">
        <f>AJ4/30/30*25*25</f>
        <v>3.333458593164579</v>
      </c>
      <c r="AO4">
        <f>AK4/30*25</f>
        <v>0</v>
      </c>
      <c r="AP4">
        <v>2500</v>
      </c>
      <c r="AR4">
        <f>AN4/25/25*20*20</f>
        <v>2.1334134996253304</v>
      </c>
      <c r="AS4">
        <f>AO4/25*20</f>
        <v>0</v>
      </c>
      <c r="AT4">
        <v>2000</v>
      </c>
    </row>
    <row r="5" spans="1:46" x14ac:dyDescent="0.3">
      <c r="A5" s="4" t="s">
        <v>39</v>
      </c>
      <c r="B5" s="4">
        <v>75</v>
      </c>
      <c r="C5" s="4">
        <v>33</v>
      </c>
      <c r="D5" s="4">
        <v>20</v>
      </c>
      <c r="E5" s="4">
        <v>10</v>
      </c>
      <c r="F5" s="4">
        <v>7</v>
      </c>
      <c r="G5" s="4">
        <v>1</v>
      </c>
      <c r="H5" s="4">
        <v>3500</v>
      </c>
      <c r="I5" s="4">
        <v>29.6</v>
      </c>
      <c r="J5" s="4">
        <v>24.5</v>
      </c>
      <c r="K5" s="4">
        <v>14.36</v>
      </c>
      <c r="L5" s="4">
        <v>30</v>
      </c>
      <c r="M5" s="4">
        <v>-4.96</v>
      </c>
      <c r="N5" s="4">
        <v>-0.14399999999999999</v>
      </c>
      <c r="O5" s="4">
        <v>2.4</v>
      </c>
      <c r="P5" s="4">
        <v>0.9</v>
      </c>
      <c r="Q5" s="4">
        <v>0.04</v>
      </c>
      <c r="R5" s="4">
        <v>0.04</v>
      </c>
      <c r="S5" s="4">
        <v>0.61</v>
      </c>
      <c r="T5" s="4">
        <v>0.41</v>
      </c>
      <c r="U5" s="4">
        <v>45</v>
      </c>
      <c r="V5" s="4">
        <v>100</v>
      </c>
      <c r="X5">
        <v>3.3655210204637847</v>
      </c>
      <c r="Y5">
        <v>22.348513836083175</v>
      </c>
      <c r="Z5">
        <v>4500</v>
      </c>
      <c r="AB5">
        <f t="shared" ref="AB5:AB40" si="0">X5/45/45*40*40</f>
        <v>2.6591771025886688</v>
      </c>
      <c r="AC5">
        <f t="shared" ref="AC5:AC40" si="1">Y5/45*40</f>
        <v>19.865345632073932</v>
      </c>
      <c r="AD5">
        <v>4000</v>
      </c>
      <c r="AF5">
        <f t="shared" ref="AF5:AF40" si="2">AB5/40/40*35*35</f>
        <v>2.0359324691694498</v>
      </c>
      <c r="AG5">
        <f t="shared" ref="AG5:AG40" si="3">AC5/40*35</f>
        <v>17.38217742806469</v>
      </c>
      <c r="AH5">
        <v>3500</v>
      </c>
      <c r="AJ5">
        <f t="shared" ref="AJ5:AJ40" si="4">AF5/35/35*30*30</f>
        <v>1.4957871202061266</v>
      </c>
      <c r="AK5">
        <f t="shared" ref="AK5:AK40" si="5">AG5/35*30</f>
        <v>14.899009224055449</v>
      </c>
      <c r="AL5">
        <v>3000</v>
      </c>
      <c r="AN5">
        <f t="shared" ref="AN5:AN40" si="6">AJ5/30/30*25*25</f>
        <v>1.0387410556986989</v>
      </c>
      <c r="AO5">
        <f t="shared" ref="AO5:AO40" si="7">AK5/30*25</f>
        <v>12.415841020046207</v>
      </c>
      <c r="AP5">
        <v>2500</v>
      </c>
      <c r="AR5">
        <f t="shared" ref="AR5:AR40" si="8">AN5/25/25*20*20</f>
        <v>0.6647942756471672</v>
      </c>
      <c r="AS5">
        <f t="shared" ref="AS5:AS40" si="9">AO5/25*20</f>
        <v>9.9326728160369662</v>
      </c>
      <c r="AT5">
        <v>2000</v>
      </c>
    </row>
    <row r="6" spans="1:46" x14ac:dyDescent="0.3">
      <c r="A6" s="4" t="s">
        <v>40</v>
      </c>
      <c r="B6" s="4">
        <v>75</v>
      </c>
      <c r="C6" s="4">
        <v>33</v>
      </c>
      <c r="D6" s="4">
        <v>20</v>
      </c>
      <c r="E6" s="4">
        <v>10</v>
      </c>
      <c r="F6" s="4">
        <v>7</v>
      </c>
      <c r="G6" s="4">
        <v>1</v>
      </c>
      <c r="H6" s="4">
        <v>3000</v>
      </c>
      <c r="I6" s="4">
        <v>29.6</v>
      </c>
      <c r="J6" s="4">
        <v>24.5</v>
      </c>
      <c r="K6" s="4">
        <v>14.36</v>
      </c>
      <c r="L6" s="4">
        <v>30</v>
      </c>
      <c r="M6" s="4">
        <v>-4.96</v>
      </c>
      <c r="N6" s="4">
        <v>-0.14399999999999999</v>
      </c>
      <c r="O6" s="4">
        <v>2.4</v>
      </c>
      <c r="P6" s="4">
        <v>0.9</v>
      </c>
      <c r="Q6" s="4">
        <v>0.04</v>
      </c>
      <c r="R6" s="4">
        <v>0.04</v>
      </c>
      <c r="S6" s="4">
        <v>0.61</v>
      </c>
      <c r="T6" s="4">
        <v>0.41</v>
      </c>
      <c r="U6" s="4">
        <v>45</v>
      </c>
      <c r="V6" s="4">
        <v>100</v>
      </c>
      <c r="X6">
        <v>3.1626203993427464</v>
      </c>
      <c r="Y6">
        <v>27.430775250789857</v>
      </c>
      <c r="Z6">
        <v>4500</v>
      </c>
      <c r="AB6">
        <f t="shared" si="0"/>
        <v>2.4988605624436517</v>
      </c>
      <c r="AC6">
        <f t="shared" si="1"/>
        <v>24.382911334035427</v>
      </c>
      <c r="AD6">
        <v>4000</v>
      </c>
      <c r="AF6">
        <f t="shared" si="2"/>
        <v>1.9131901181209208</v>
      </c>
      <c r="AG6">
        <f t="shared" si="3"/>
        <v>21.335047417281</v>
      </c>
      <c r="AH6">
        <v>3500</v>
      </c>
      <c r="AJ6">
        <f t="shared" si="4"/>
        <v>1.4056090663745542</v>
      </c>
      <c r="AK6">
        <f t="shared" si="5"/>
        <v>18.28718350052657</v>
      </c>
      <c r="AL6">
        <v>3000</v>
      </c>
      <c r="AN6">
        <f t="shared" si="6"/>
        <v>0.97611740720455142</v>
      </c>
      <c r="AO6">
        <f t="shared" si="7"/>
        <v>15.239319583772144</v>
      </c>
      <c r="AP6">
        <v>2500</v>
      </c>
      <c r="AR6">
        <f t="shared" si="8"/>
        <v>0.62471514061091293</v>
      </c>
      <c r="AS6">
        <f t="shared" si="9"/>
        <v>12.191455667017713</v>
      </c>
      <c r="AT6">
        <v>2000</v>
      </c>
    </row>
    <row r="7" spans="1:46" x14ac:dyDescent="0.3">
      <c r="A7" s="4" t="s">
        <v>41</v>
      </c>
      <c r="B7" s="4">
        <v>75</v>
      </c>
      <c r="C7" s="4">
        <v>33</v>
      </c>
      <c r="D7" s="4">
        <v>20</v>
      </c>
      <c r="E7" s="4">
        <v>10</v>
      </c>
      <c r="F7" s="4">
        <v>7</v>
      </c>
      <c r="G7" s="4">
        <v>1</v>
      </c>
      <c r="H7" s="4">
        <v>2500</v>
      </c>
      <c r="I7" s="4">
        <v>29.6</v>
      </c>
      <c r="J7" s="4">
        <v>24.5</v>
      </c>
      <c r="K7" s="4">
        <v>14.36</v>
      </c>
      <c r="L7" s="4">
        <v>30</v>
      </c>
      <c r="M7" s="4">
        <v>-4.96</v>
      </c>
      <c r="N7" s="4">
        <v>-0.14399999999999999</v>
      </c>
      <c r="O7" s="4">
        <v>2.4</v>
      </c>
      <c r="P7" s="4">
        <v>0.9</v>
      </c>
      <c r="Q7" s="4">
        <v>0.04</v>
      </c>
      <c r="R7" s="4">
        <v>0.04</v>
      </c>
      <c r="S7" s="4">
        <v>0.61</v>
      </c>
      <c r="T7" s="4">
        <v>0.41</v>
      </c>
      <c r="U7" s="4">
        <v>45</v>
      </c>
      <c r="V7" s="4">
        <v>100</v>
      </c>
      <c r="X7">
        <v>2.5624441057014198</v>
      </c>
      <c r="Y7">
        <v>31.724519443055684</v>
      </c>
      <c r="Z7">
        <v>4500</v>
      </c>
      <c r="AB7">
        <f t="shared" si="0"/>
        <v>2.0246471946282822</v>
      </c>
      <c r="AC7">
        <f t="shared" si="1"/>
        <v>28.19957283827172</v>
      </c>
      <c r="AD7">
        <v>4000</v>
      </c>
      <c r="AF7">
        <f t="shared" si="2"/>
        <v>1.5501205083872787</v>
      </c>
      <c r="AG7">
        <f t="shared" si="3"/>
        <v>24.674626233487757</v>
      </c>
      <c r="AH7">
        <v>3500</v>
      </c>
      <c r="AJ7">
        <f t="shared" si="4"/>
        <v>1.138864046978409</v>
      </c>
      <c r="AK7">
        <f t="shared" si="5"/>
        <v>21.14967962870379</v>
      </c>
      <c r="AL7">
        <v>3000</v>
      </c>
      <c r="AN7">
        <f t="shared" si="6"/>
        <v>0.79087781040167293</v>
      </c>
      <c r="AO7">
        <f t="shared" si="7"/>
        <v>17.624733023919823</v>
      </c>
      <c r="AP7">
        <v>2500</v>
      </c>
      <c r="AR7">
        <f t="shared" si="8"/>
        <v>0.50616179865707078</v>
      </c>
      <c r="AS7">
        <f t="shared" si="9"/>
        <v>14.099786419135858</v>
      </c>
      <c r="AT7">
        <v>2000</v>
      </c>
    </row>
    <row r="8" spans="1:46" x14ac:dyDescent="0.3">
      <c r="A8" s="4" t="s">
        <v>42</v>
      </c>
      <c r="B8" s="4">
        <v>75</v>
      </c>
      <c r="C8" s="4">
        <v>33</v>
      </c>
      <c r="D8" s="4">
        <v>20</v>
      </c>
      <c r="E8" s="4">
        <v>10</v>
      </c>
      <c r="F8" s="4">
        <v>7</v>
      </c>
      <c r="G8" s="4">
        <v>1</v>
      </c>
      <c r="H8" s="4">
        <v>2000</v>
      </c>
      <c r="I8" s="4">
        <v>29.6</v>
      </c>
      <c r="J8" s="4">
        <v>24.5</v>
      </c>
      <c r="K8" s="4">
        <v>14.36</v>
      </c>
      <c r="L8" s="4">
        <v>30</v>
      </c>
      <c r="M8" s="4">
        <v>-4.96</v>
      </c>
      <c r="N8" s="4">
        <v>-0.14399999999999999</v>
      </c>
      <c r="O8" s="4">
        <v>2.4</v>
      </c>
      <c r="P8" s="4">
        <v>0.9</v>
      </c>
      <c r="Q8" s="4">
        <v>0.04</v>
      </c>
      <c r="R8" s="4">
        <v>0.04</v>
      </c>
      <c r="S8" s="4">
        <v>0.61</v>
      </c>
      <c r="T8" s="4">
        <v>0.41</v>
      </c>
      <c r="U8" s="4">
        <v>45</v>
      </c>
      <c r="V8" s="4">
        <v>100</v>
      </c>
      <c r="X8">
        <v>0</v>
      </c>
      <c r="Y8">
        <v>38.861420574767436</v>
      </c>
      <c r="Z8">
        <v>4500</v>
      </c>
      <c r="AB8">
        <f t="shared" si="0"/>
        <v>0</v>
      </c>
      <c r="AC8">
        <f t="shared" si="1"/>
        <v>34.543484955348831</v>
      </c>
      <c r="AD8">
        <v>4000</v>
      </c>
      <c r="AF8">
        <f t="shared" si="2"/>
        <v>0</v>
      </c>
      <c r="AG8">
        <f t="shared" si="3"/>
        <v>30.225549335930225</v>
      </c>
      <c r="AH8">
        <v>3500</v>
      </c>
      <c r="AJ8">
        <f t="shared" si="4"/>
        <v>0</v>
      </c>
      <c r="AK8">
        <f t="shared" si="5"/>
        <v>25.907613716511623</v>
      </c>
      <c r="AL8">
        <v>3000</v>
      </c>
      <c r="AN8">
        <f t="shared" si="6"/>
        <v>0</v>
      </c>
      <c r="AO8">
        <f t="shared" si="7"/>
        <v>21.589678097093017</v>
      </c>
      <c r="AP8">
        <v>2500</v>
      </c>
      <c r="AR8">
        <f t="shared" si="8"/>
        <v>0</v>
      </c>
      <c r="AS8">
        <f t="shared" si="9"/>
        <v>17.271742477674415</v>
      </c>
      <c r="AT8">
        <v>2000</v>
      </c>
    </row>
    <row r="9" spans="1:46" x14ac:dyDescent="0.3">
      <c r="A9" s="4" t="s">
        <v>43</v>
      </c>
      <c r="B9" s="4">
        <v>75</v>
      </c>
      <c r="C9" s="4">
        <v>33</v>
      </c>
      <c r="D9" s="4">
        <v>20</v>
      </c>
      <c r="E9" s="4">
        <v>10</v>
      </c>
      <c r="F9" s="4">
        <v>7</v>
      </c>
      <c r="G9" s="4">
        <v>1</v>
      </c>
      <c r="H9" s="4">
        <v>7000</v>
      </c>
      <c r="I9" s="4">
        <v>29.6</v>
      </c>
      <c r="J9" s="4">
        <v>24.5</v>
      </c>
      <c r="K9" s="4">
        <v>14.36</v>
      </c>
      <c r="L9" s="4">
        <v>30</v>
      </c>
      <c r="M9" s="4">
        <v>-4.96</v>
      </c>
      <c r="N9" s="4">
        <v>-0.14399999999999999</v>
      </c>
      <c r="O9" s="4">
        <v>2.4</v>
      </c>
      <c r="P9" s="4">
        <v>0.9</v>
      </c>
      <c r="Q9" s="4">
        <v>0.04</v>
      </c>
      <c r="R9" s="4">
        <v>0.04</v>
      </c>
      <c r="S9" s="4">
        <v>0.61</v>
      </c>
      <c r="T9" s="4">
        <v>0.41</v>
      </c>
      <c r="U9" s="4">
        <v>45</v>
      </c>
      <c r="V9" s="4">
        <v>100</v>
      </c>
    </row>
    <row r="10" spans="1:46" x14ac:dyDescent="0.3">
      <c r="A10" s="4" t="s">
        <v>44</v>
      </c>
      <c r="B10" s="4">
        <v>75</v>
      </c>
      <c r="C10" s="4">
        <v>33</v>
      </c>
      <c r="D10" s="4">
        <v>20</v>
      </c>
      <c r="E10" s="4">
        <v>10</v>
      </c>
      <c r="F10" s="4">
        <v>7</v>
      </c>
      <c r="G10" s="4">
        <v>1</v>
      </c>
      <c r="H10" s="4">
        <v>6000</v>
      </c>
      <c r="I10" s="4">
        <v>29.6</v>
      </c>
      <c r="J10" s="4">
        <v>24.5</v>
      </c>
      <c r="K10" s="4">
        <v>14.36</v>
      </c>
      <c r="L10" s="4">
        <v>30</v>
      </c>
      <c r="M10" s="4">
        <v>-4.96</v>
      </c>
      <c r="N10" s="4">
        <v>-0.14399999999999999</v>
      </c>
      <c r="O10" s="4">
        <v>2.4</v>
      </c>
      <c r="P10" s="4">
        <v>0.9</v>
      </c>
      <c r="Q10" s="4">
        <v>0.04</v>
      </c>
      <c r="R10" s="4">
        <v>0.04</v>
      </c>
      <c r="S10" s="4">
        <v>0.61</v>
      </c>
      <c r="T10" s="4">
        <v>0.41</v>
      </c>
      <c r="U10" s="4">
        <v>45</v>
      </c>
      <c r="V10" s="4">
        <v>100</v>
      </c>
    </row>
    <row r="11" spans="1:46" x14ac:dyDescent="0.3">
      <c r="A11" s="5" t="s">
        <v>45</v>
      </c>
      <c r="B11" s="5">
        <v>75</v>
      </c>
      <c r="C11" s="5">
        <v>33</v>
      </c>
      <c r="D11" s="5">
        <v>20</v>
      </c>
      <c r="E11" s="5">
        <v>12.5</v>
      </c>
      <c r="F11" s="5">
        <v>7</v>
      </c>
      <c r="G11" s="5">
        <v>1</v>
      </c>
      <c r="H11" s="5">
        <v>4500</v>
      </c>
      <c r="I11" s="5">
        <v>45</v>
      </c>
      <c r="J11" s="5">
        <v>30</v>
      </c>
      <c r="K11" s="5">
        <v>15</v>
      </c>
      <c r="L11" s="5">
        <v>18.350000000000001</v>
      </c>
      <c r="M11" s="5">
        <v>-2</v>
      </c>
      <c r="N11" s="5">
        <v>2</v>
      </c>
      <c r="O11" s="5">
        <v>2</v>
      </c>
      <c r="P11" s="5">
        <v>0.8</v>
      </c>
      <c r="Q11" s="5">
        <v>0.06</v>
      </c>
      <c r="R11" s="5">
        <v>0.06</v>
      </c>
      <c r="S11" s="5">
        <v>0.6</v>
      </c>
      <c r="T11" s="5">
        <v>0.3</v>
      </c>
      <c r="U11" s="5">
        <v>66</v>
      </c>
      <c r="V11" s="5">
        <v>10</v>
      </c>
      <c r="X11" t="s">
        <v>46</v>
      </c>
      <c r="AB11" t="s">
        <v>46</v>
      </c>
      <c r="AF11" t="s">
        <v>46</v>
      </c>
      <c r="AJ11" t="s">
        <v>46</v>
      </c>
      <c r="AN11" t="s">
        <v>46</v>
      </c>
      <c r="AR11" t="s">
        <v>46</v>
      </c>
    </row>
    <row r="12" spans="1:46" x14ac:dyDescent="0.3">
      <c r="A12" s="5" t="s">
        <v>47</v>
      </c>
      <c r="B12" s="5">
        <v>75</v>
      </c>
      <c r="C12" s="5">
        <v>33</v>
      </c>
      <c r="D12" s="5">
        <v>20</v>
      </c>
      <c r="E12" s="5">
        <v>12.5</v>
      </c>
      <c r="F12" s="5">
        <v>7</v>
      </c>
      <c r="G12" s="5">
        <v>1</v>
      </c>
      <c r="H12" s="5">
        <v>4000</v>
      </c>
      <c r="I12" s="5">
        <v>45</v>
      </c>
      <c r="J12" s="5">
        <v>30</v>
      </c>
      <c r="K12" s="5">
        <v>15</v>
      </c>
      <c r="L12" s="5">
        <v>18.350000000000001</v>
      </c>
      <c r="M12" s="5">
        <v>-2</v>
      </c>
      <c r="N12" s="5">
        <v>2</v>
      </c>
      <c r="O12" s="5">
        <v>2</v>
      </c>
      <c r="P12" s="5">
        <v>0.8</v>
      </c>
      <c r="Q12" s="5">
        <v>0.06</v>
      </c>
      <c r="R12" s="5">
        <v>0.06</v>
      </c>
      <c r="S12" s="5">
        <v>0.6</v>
      </c>
      <c r="T12" s="5">
        <v>0.3</v>
      </c>
      <c r="U12" s="5">
        <v>66</v>
      </c>
      <c r="V12" s="5">
        <v>10</v>
      </c>
      <c r="X12">
        <v>0</v>
      </c>
      <c r="Y12">
        <v>46.24</v>
      </c>
      <c r="Z12">
        <v>4500</v>
      </c>
      <c r="AB12">
        <f t="shared" si="0"/>
        <v>0</v>
      </c>
      <c r="AC12">
        <f t="shared" si="1"/>
        <v>41.102222222222224</v>
      </c>
      <c r="AD12">
        <v>4000</v>
      </c>
      <c r="AF12">
        <f t="shared" si="2"/>
        <v>0</v>
      </c>
      <c r="AG12">
        <f t="shared" si="3"/>
        <v>35.964444444444446</v>
      </c>
      <c r="AH12">
        <v>3500</v>
      </c>
      <c r="AJ12">
        <f t="shared" si="4"/>
        <v>0</v>
      </c>
      <c r="AK12">
        <f t="shared" si="5"/>
        <v>30.826666666666668</v>
      </c>
      <c r="AL12">
        <v>3000</v>
      </c>
      <c r="AN12">
        <f t="shared" si="6"/>
        <v>0</v>
      </c>
      <c r="AO12">
        <f t="shared" si="7"/>
        <v>25.68888888888889</v>
      </c>
      <c r="AP12">
        <v>2500</v>
      </c>
      <c r="AR12">
        <f t="shared" si="8"/>
        <v>0</v>
      </c>
      <c r="AS12">
        <f t="shared" si="9"/>
        <v>20.551111111111112</v>
      </c>
      <c r="AT12">
        <v>2000</v>
      </c>
    </row>
    <row r="13" spans="1:46" x14ac:dyDescent="0.3">
      <c r="A13" s="5" t="s">
        <v>48</v>
      </c>
      <c r="B13" s="5">
        <v>75</v>
      </c>
      <c r="C13" s="5">
        <v>33</v>
      </c>
      <c r="D13" s="5">
        <v>20</v>
      </c>
      <c r="E13" s="5">
        <v>12.5</v>
      </c>
      <c r="F13" s="5">
        <v>7</v>
      </c>
      <c r="G13" s="5">
        <v>1</v>
      </c>
      <c r="H13" s="5">
        <v>3500</v>
      </c>
      <c r="I13" s="5">
        <v>45</v>
      </c>
      <c r="J13" s="5">
        <v>30</v>
      </c>
      <c r="K13" s="5">
        <v>15</v>
      </c>
      <c r="L13" s="5">
        <v>18.350000000000001</v>
      </c>
      <c r="M13" s="5">
        <v>-2</v>
      </c>
      <c r="N13" s="5">
        <v>2</v>
      </c>
      <c r="O13" s="5">
        <v>2</v>
      </c>
      <c r="P13" s="5">
        <v>0.8</v>
      </c>
      <c r="Q13" s="5">
        <v>0.06</v>
      </c>
      <c r="R13" s="5">
        <v>0.06</v>
      </c>
      <c r="S13" s="5">
        <v>0.6</v>
      </c>
      <c r="T13" s="5">
        <v>0.3</v>
      </c>
      <c r="U13" s="5">
        <v>66</v>
      </c>
      <c r="V13" s="5">
        <v>10</v>
      </c>
      <c r="X13">
        <v>2.79</v>
      </c>
      <c r="Y13">
        <v>34.82</v>
      </c>
      <c r="Z13">
        <v>4500</v>
      </c>
      <c r="AB13">
        <f t="shared" si="0"/>
        <v>2.2044444444444444</v>
      </c>
      <c r="AC13">
        <f t="shared" si="1"/>
        <v>30.951111111111111</v>
      </c>
      <c r="AD13">
        <v>4000</v>
      </c>
      <c r="AF13">
        <f t="shared" si="2"/>
        <v>1.6877777777777778</v>
      </c>
      <c r="AG13">
        <f t="shared" si="3"/>
        <v>27.082222222222221</v>
      </c>
      <c r="AH13">
        <v>3500</v>
      </c>
      <c r="AJ13">
        <f t="shared" si="4"/>
        <v>1.24</v>
      </c>
      <c r="AK13">
        <f t="shared" si="5"/>
        <v>23.213333333333335</v>
      </c>
      <c r="AL13">
        <v>3000</v>
      </c>
      <c r="AN13">
        <f t="shared" si="6"/>
        <v>0.86111111111111116</v>
      </c>
      <c r="AO13">
        <f t="shared" si="7"/>
        <v>19.344444444444445</v>
      </c>
      <c r="AP13">
        <v>2500</v>
      </c>
      <c r="AR13">
        <f t="shared" si="8"/>
        <v>0.55111111111111111</v>
      </c>
      <c r="AS13">
        <f t="shared" si="9"/>
        <v>15.475555555555555</v>
      </c>
      <c r="AT13">
        <v>2000</v>
      </c>
    </row>
    <row r="14" spans="1:46" x14ac:dyDescent="0.3">
      <c r="A14" s="5" t="s">
        <v>49</v>
      </c>
      <c r="B14" s="5">
        <v>75</v>
      </c>
      <c r="C14" s="5">
        <v>33</v>
      </c>
      <c r="D14" s="5">
        <v>20</v>
      </c>
      <c r="E14" s="5">
        <v>12.5</v>
      </c>
      <c r="F14" s="5">
        <v>7</v>
      </c>
      <c r="G14" s="5">
        <v>1</v>
      </c>
      <c r="H14" s="5">
        <v>3000</v>
      </c>
      <c r="I14" s="5">
        <v>45</v>
      </c>
      <c r="J14" s="5">
        <v>30</v>
      </c>
      <c r="K14" s="5">
        <v>15</v>
      </c>
      <c r="L14" s="5">
        <v>18.350000000000001</v>
      </c>
      <c r="M14" s="5">
        <v>-2</v>
      </c>
      <c r="N14" s="5">
        <v>2</v>
      </c>
      <c r="O14" s="5">
        <v>2</v>
      </c>
      <c r="P14" s="5">
        <v>0.8</v>
      </c>
      <c r="Q14" s="5">
        <v>0.06</v>
      </c>
      <c r="R14" s="5">
        <v>0.06</v>
      </c>
      <c r="S14" s="5">
        <v>0.6</v>
      </c>
      <c r="T14" s="5">
        <v>0.3</v>
      </c>
      <c r="U14" s="5">
        <v>66</v>
      </c>
      <c r="V14" s="5">
        <v>10</v>
      </c>
      <c r="X14">
        <v>3.41</v>
      </c>
      <c r="Y14">
        <v>29.89</v>
      </c>
      <c r="Z14">
        <v>4500</v>
      </c>
      <c r="AB14">
        <f t="shared" si="0"/>
        <v>2.6943209876543204</v>
      </c>
      <c r="AC14">
        <f t="shared" si="1"/>
        <v>26.568888888888893</v>
      </c>
      <c r="AD14">
        <v>4000</v>
      </c>
      <c r="AF14">
        <f t="shared" si="2"/>
        <v>2.0628395061728391</v>
      </c>
      <c r="AG14">
        <f t="shared" si="3"/>
        <v>23.247777777777781</v>
      </c>
      <c r="AH14">
        <v>3500</v>
      </c>
      <c r="AJ14">
        <f t="shared" si="4"/>
        <v>1.5155555555555553</v>
      </c>
      <c r="AK14">
        <f t="shared" si="5"/>
        <v>19.926666666666669</v>
      </c>
      <c r="AL14">
        <v>3000</v>
      </c>
      <c r="AN14">
        <f t="shared" si="6"/>
        <v>1.0524691358024689</v>
      </c>
      <c r="AO14">
        <f t="shared" si="7"/>
        <v>16.605555555555558</v>
      </c>
      <c r="AP14">
        <v>2500</v>
      </c>
      <c r="AR14">
        <f t="shared" si="8"/>
        <v>0.67358024691358009</v>
      </c>
      <c r="AS14">
        <f t="shared" si="9"/>
        <v>13.284444444444446</v>
      </c>
      <c r="AT14">
        <v>2000</v>
      </c>
    </row>
    <row r="15" spans="1:46" x14ac:dyDescent="0.3">
      <c r="A15" s="5" t="s">
        <v>50</v>
      </c>
      <c r="B15" s="5">
        <v>75</v>
      </c>
      <c r="C15" s="5">
        <v>33</v>
      </c>
      <c r="D15" s="5">
        <v>20</v>
      </c>
      <c r="E15" s="5">
        <v>12.5</v>
      </c>
      <c r="F15" s="5">
        <v>7</v>
      </c>
      <c r="G15" s="5">
        <v>1</v>
      </c>
      <c r="H15" s="5">
        <v>2500</v>
      </c>
      <c r="I15" s="5">
        <v>45</v>
      </c>
      <c r="J15" s="5">
        <v>30</v>
      </c>
      <c r="K15" s="5">
        <v>15</v>
      </c>
      <c r="L15" s="5">
        <v>18.350000000000001</v>
      </c>
      <c r="M15" s="5">
        <v>-2</v>
      </c>
      <c r="N15" s="5">
        <v>2</v>
      </c>
      <c r="O15" s="5">
        <v>2</v>
      </c>
      <c r="P15" s="5">
        <v>0.8</v>
      </c>
      <c r="Q15" s="5">
        <v>0.06</v>
      </c>
      <c r="R15" s="5">
        <v>0.06</v>
      </c>
      <c r="S15" s="5">
        <v>0.6</v>
      </c>
      <c r="T15" s="5">
        <v>0.3</v>
      </c>
      <c r="U15" s="5">
        <v>66</v>
      </c>
      <c r="V15" s="5">
        <v>10</v>
      </c>
      <c r="X15">
        <v>3.597</v>
      </c>
      <c r="Y15">
        <v>19.920000000000002</v>
      </c>
      <c r="Z15">
        <v>4500</v>
      </c>
      <c r="AB15">
        <f t="shared" si="0"/>
        <v>2.8420740740740742</v>
      </c>
      <c r="AC15">
        <f t="shared" si="1"/>
        <v>17.706666666666667</v>
      </c>
      <c r="AD15">
        <v>4000</v>
      </c>
      <c r="AF15">
        <f t="shared" si="2"/>
        <v>2.1759629629629629</v>
      </c>
      <c r="AG15">
        <f t="shared" si="3"/>
        <v>15.493333333333332</v>
      </c>
      <c r="AH15">
        <v>3500</v>
      </c>
      <c r="AJ15">
        <f t="shared" si="4"/>
        <v>1.5986666666666665</v>
      </c>
      <c r="AK15">
        <f t="shared" si="5"/>
        <v>13.28</v>
      </c>
      <c r="AL15">
        <v>3000</v>
      </c>
      <c r="AN15">
        <f t="shared" si="6"/>
        <v>1.1101851851851852</v>
      </c>
      <c r="AO15">
        <f t="shared" si="7"/>
        <v>11.066666666666666</v>
      </c>
      <c r="AP15">
        <v>2500</v>
      </c>
      <c r="AR15">
        <f t="shared" si="8"/>
        <v>0.71051851851851855</v>
      </c>
      <c r="AS15">
        <f t="shared" si="9"/>
        <v>8.8533333333333335</v>
      </c>
      <c r="AT15">
        <v>2000</v>
      </c>
    </row>
    <row r="16" spans="1:46" x14ac:dyDescent="0.3">
      <c r="A16" s="5" t="s">
        <v>51</v>
      </c>
      <c r="B16" s="5">
        <v>75</v>
      </c>
      <c r="C16" s="5">
        <v>33</v>
      </c>
      <c r="D16" s="5">
        <v>20</v>
      </c>
      <c r="E16" s="5">
        <v>12.5</v>
      </c>
      <c r="F16" s="5">
        <v>7</v>
      </c>
      <c r="G16" s="5">
        <v>1</v>
      </c>
      <c r="H16" s="5">
        <v>2000</v>
      </c>
      <c r="I16" s="5">
        <v>45</v>
      </c>
      <c r="J16" s="5">
        <v>30</v>
      </c>
      <c r="K16" s="5">
        <v>15</v>
      </c>
      <c r="L16" s="5">
        <v>18.350000000000001</v>
      </c>
      <c r="M16" s="5">
        <v>-2</v>
      </c>
      <c r="N16" s="5">
        <v>2</v>
      </c>
      <c r="O16" s="5">
        <v>2</v>
      </c>
      <c r="P16" s="5">
        <v>0.8</v>
      </c>
      <c r="Q16" s="5">
        <v>0.06</v>
      </c>
      <c r="R16" s="5">
        <v>0.06</v>
      </c>
      <c r="S16" s="5">
        <v>0.6</v>
      </c>
      <c r="T16" s="5">
        <v>0.3</v>
      </c>
      <c r="U16" s="5">
        <v>66</v>
      </c>
      <c r="V16" s="5">
        <v>10</v>
      </c>
      <c r="X16">
        <v>5.9340000000000002</v>
      </c>
      <c r="Y16">
        <v>0</v>
      </c>
      <c r="Z16">
        <v>4500</v>
      </c>
      <c r="AB16">
        <f t="shared" si="0"/>
        <v>4.6885925925925918</v>
      </c>
      <c r="AC16">
        <f t="shared" si="1"/>
        <v>0</v>
      </c>
      <c r="AD16">
        <v>4000</v>
      </c>
      <c r="AF16">
        <f t="shared" si="2"/>
        <v>3.5897037037037034</v>
      </c>
      <c r="AG16">
        <f t="shared" si="3"/>
        <v>0</v>
      </c>
      <c r="AH16">
        <v>3500</v>
      </c>
      <c r="AJ16">
        <f t="shared" si="4"/>
        <v>2.6373333333333333</v>
      </c>
      <c r="AK16">
        <f t="shared" si="5"/>
        <v>0</v>
      </c>
      <c r="AL16">
        <v>3000</v>
      </c>
      <c r="AN16">
        <f t="shared" si="6"/>
        <v>1.831481481481481</v>
      </c>
      <c r="AO16">
        <f t="shared" si="7"/>
        <v>0</v>
      </c>
      <c r="AP16">
        <v>2500</v>
      </c>
      <c r="AR16">
        <f t="shared" si="8"/>
        <v>1.1721481481481479</v>
      </c>
      <c r="AS16">
        <f t="shared" si="9"/>
        <v>0</v>
      </c>
      <c r="AT16">
        <v>2000</v>
      </c>
    </row>
    <row r="17" spans="1:46" x14ac:dyDescent="0.3">
      <c r="A17" s="5" t="s">
        <v>52</v>
      </c>
      <c r="B17" s="5">
        <v>75</v>
      </c>
      <c r="C17" s="5">
        <v>33</v>
      </c>
      <c r="D17" s="5">
        <v>20</v>
      </c>
      <c r="E17" s="5">
        <v>12.5</v>
      </c>
      <c r="F17" s="5">
        <v>9</v>
      </c>
      <c r="G17" s="5">
        <v>1</v>
      </c>
      <c r="H17" s="5">
        <v>4500</v>
      </c>
      <c r="I17" s="5">
        <v>50</v>
      </c>
      <c r="J17" s="5">
        <v>29</v>
      </c>
      <c r="K17" s="5">
        <v>13.71</v>
      </c>
      <c r="L17" s="5">
        <v>21.65</v>
      </c>
      <c r="M17" s="5">
        <v>-2</v>
      </c>
      <c r="N17" s="5">
        <v>2</v>
      </c>
      <c r="O17" s="5">
        <v>2</v>
      </c>
      <c r="P17" s="5">
        <v>0.8</v>
      </c>
      <c r="Q17" s="5">
        <v>0.06</v>
      </c>
      <c r="R17" s="5">
        <v>0.06</v>
      </c>
      <c r="S17" s="5">
        <v>0.6</v>
      </c>
      <c r="T17" s="5">
        <v>0.3</v>
      </c>
      <c r="U17" s="5">
        <v>66</v>
      </c>
      <c r="V17" s="5">
        <v>10</v>
      </c>
    </row>
    <row r="18" spans="1:46" x14ac:dyDescent="0.3">
      <c r="A18" s="5" t="s">
        <v>53</v>
      </c>
      <c r="B18" s="5">
        <v>75</v>
      </c>
      <c r="C18" s="5">
        <v>33</v>
      </c>
      <c r="D18" s="5">
        <v>20</v>
      </c>
      <c r="E18" s="5">
        <v>12.5</v>
      </c>
      <c r="F18" s="5">
        <v>9</v>
      </c>
      <c r="G18" s="5">
        <v>1</v>
      </c>
      <c r="H18" s="5">
        <v>4000</v>
      </c>
      <c r="I18" s="5">
        <v>50</v>
      </c>
      <c r="J18" s="5">
        <v>29</v>
      </c>
      <c r="K18" s="5">
        <v>13.71</v>
      </c>
      <c r="L18" s="5">
        <v>21.65</v>
      </c>
      <c r="M18" s="5">
        <v>-2</v>
      </c>
      <c r="N18" s="5">
        <v>2</v>
      </c>
      <c r="O18" s="5">
        <v>2</v>
      </c>
      <c r="P18" s="5">
        <v>0.8</v>
      </c>
      <c r="Q18" s="5">
        <v>0.06</v>
      </c>
      <c r="R18" s="5">
        <v>0.06</v>
      </c>
      <c r="S18" s="5">
        <v>0.6</v>
      </c>
      <c r="T18" s="5">
        <v>0.3</v>
      </c>
      <c r="U18" s="5">
        <v>66</v>
      </c>
      <c r="V18" s="5">
        <v>10</v>
      </c>
    </row>
    <row r="19" spans="1:46" x14ac:dyDescent="0.3">
      <c r="A19" s="5" t="s">
        <v>54</v>
      </c>
      <c r="B19" s="5">
        <v>75</v>
      </c>
      <c r="C19" s="5">
        <v>33</v>
      </c>
      <c r="D19" s="5">
        <v>20</v>
      </c>
      <c r="E19" s="5">
        <v>12.5</v>
      </c>
      <c r="F19" s="5">
        <v>9</v>
      </c>
      <c r="G19" s="5">
        <v>1</v>
      </c>
      <c r="H19" s="5">
        <v>3500</v>
      </c>
      <c r="I19" s="5">
        <v>50</v>
      </c>
      <c r="J19" s="5">
        <v>29</v>
      </c>
      <c r="K19" s="5">
        <v>13.71</v>
      </c>
      <c r="L19" s="5">
        <v>21.65</v>
      </c>
      <c r="M19" s="5">
        <v>-2</v>
      </c>
      <c r="N19" s="5">
        <v>2</v>
      </c>
      <c r="O19" s="5">
        <v>2</v>
      </c>
      <c r="P19" s="5">
        <v>0.8</v>
      </c>
      <c r="Q19" s="5">
        <v>0.06</v>
      </c>
      <c r="R19" s="5">
        <v>0.06</v>
      </c>
      <c r="S19" s="5">
        <v>0.6</v>
      </c>
      <c r="T19" s="5">
        <v>0.3</v>
      </c>
      <c r="U19" s="5">
        <v>66</v>
      </c>
      <c r="V19" s="5">
        <v>10</v>
      </c>
      <c r="X19" t="s">
        <v>55</v>
      </c>
      <c r="AB19" t="s">
        <v>55</v>
      </c>
      <c r="AF19" t="s">
        <v>55</v>
      </c>
      <c r="AJ19" t="s">
        <v>55</v>
      </c>
      <c r="AN19" t="s">
        <v>55</v>
      </c>
      <c r="AR19" t="s">
        <v>55</v>
      </c>
    </row>
    <row r="20" spans="1:46" x14ac:dyDescent="0.3">
      <c r="A20" s="5" t="s">
        <v>56</v>
      </c>
      <c r="B20" s="5">
        <v>75</v>
      </c>
      <c r="C20" s="5">
        <v>33</v>
      </c>
      <c r="D20" s="5">
        <v>20</v>
      </c>
      <c r="E20" s="5">
        <v>12.5</v>
      </c>
      <c r="F20" s="5">
        <v>9</v>
      </c>
      <c r="G20" s="5">
        <v>1</v>
      </c>
      <c r="H20" s="5">
        <v>3000</v>
      </c>
      <c r="I20" s="5">
        <v>50</v>
      </c>
      <c r="J20" s="5">
        <v>29</v>
      </c>
      <c r="K20" s="5">
        <v>13.71</v>
      </c>
      <c r="L20" s="5">
        <v>21.65</v>
      </c>
      <c r="M20" s="5">
        <v>-2</v>
      </c>
      <c r="N20" s="5">
        <v>2</v>
      </c>
      <c r="O20" s="5">
        <v>2</v>
      </c>
      <c r="P20" s="5">
        <v>0.8</v>
      </c>
      <c r="Q20" s="5">
        <v>0.06</v>
      </c>
      <c r="R20" s="5">
        <v>0.06</v>
      </c>
      <c r="S20" s="5">
        <v>0.6</v>
      </c>
      <c r="T20" s="5">
        <v>0.3</v>
      </c>
      <c r="U20" s="5">
        <v>66</v>
      </c>
      <c r="V20" s="5">
        <v>10</v>
      </c>
      <c r="X20">
        <v>0</v>
      </c>
      <c r="Y20">
        <v>49.99</v>
      </c>
      <c r="Z20">
        <v>4500</v>
      </c>
      <c r="AB20">
        <f t="shared" si="0"/>
        <v>0</v>
      </c>
      <c r="AC20">
        <f t="shared" si="1"/>
        <v>44.43555555555556</v>
      </c>
      <c r="AD20">
        <v>4000</v>
      </c>
      <c r="AF20">
        <f t="shared" si="2"/>
        <v>0</v>
      </c>
      <c r="AG20">
        <f t="shared" si="3"/>
        <v>38.881111111111117</v>
      </c>
      <c r="AH20">
        <v>3500</v>
      </c>
      <c r="AJ20">
        <f t="shared" si="4"/>
        <v>0</v>
      </c>
      <c r="AK20">
        <f t="shared" si="5"/>
        <v>33.326666666666668</v>
      </c>
      <c r="AL20">
        <v>3000</v>
      </c>
      <c r="AN20">
        <f t="shared" si="6"/>
        <v>0</v>
      </c>
      <c r="AO20">
        <f t="shared" si="7"/>
        <v>27.772222222222226</v>
      </c>
      <c r="AP20">
        <v>2500</v>
      </c>
      <c r="AR20">
        <f t="shared" si="8"/>
        <v>0</v>
      </c>
      <c r="AS20">
        <f t="shared" si="9"/>
        <v>22.21777777777778</v>
      </c>
      <c r="AT20">
        <v>2000</v>
      </c>
    </row>
    <row r="21" spans="1:46" x14ac:dyDescent="0.3">
      <c r="A21" s="5" t="s">
        <v>57</v>
      </c>
      <c r="B21" s="5">
        <v>75</v>
      </c>
      <c r="C21" s="5">
        <v>33</v>
      </c>
      <c r="D21" s="5">
        <v>20</v>
      </c>
      <c r="E21" s="5">
        <v>12.5</v>
      </c>
      <c r="F21" s="5">
        <v>9</v>
      </c>
      <c r="G21" s="5">
        <v>1</v>
      </c>
      <c r="H21" s="5">
        <v>2500</v>
      </c>
      <c r="I21" s="5">
        <v>50</v>
      </c>
      <c r="J21" s="5">
        <v>29</v>
      </c>
      <c r="K21" s="5">
        <v>13.71</v>
      </c>
      <c r="L21" s="5">
        <v>21.65</v>
      </c>
      <c r="M21" s="5">
        <v>-2</v>
      </c>
      <c r="N21" s="5">
        <v>2</v>
      </c>
      <c r="O21" s="5">
        <v>2</v>
      </c>
      <c r="P21" s="5">
        <v>0.8</v>
      </c>
      <c r="Q21" s="5">
        <v>0.06</v>
      </c>
      <c r="R21" s="5">
        <v>0.06</v>
      </c>
      <c r="S21" s="5">
        <v>0.6</v>
      </c>
      <c r="T21" s="5">
        <v>0.3</v>
      </c>
      <c r="U21" s="5">
        <v>66</v>
      </c>
      <c r="V21" s="5">
        <v>10</v>
      </c>
      <c r="X21">
        <v>3.22</v>
      </c>
      <c r="Y21">
        <v>34.99</v>
      </c>
      <c r="Z21">
        <v>4500</v>
      </c>
      <c r="AB21">
        <f t="shared" si="0"/>
        <v>2.544197530864198</v>
      </c>
      <c r="AC21">
        <f t="shared" si="1"/>
        <v>31.102222222222224</v>
      </c>
      <c r="AD21">
        <v>4000</v>
      </c>
      <c r="AF21">
        <f t="shared" si="2"/>
        <v>1.9479012345679014</v>
      </c>
      <c r="AG21">
        <f t="shared" si="3"/>
        <v>27.214444444444446</v>
      </c>
      <c r="AH21">
        <v>3500</v>
      </c>
      <c r="AJ21">
        <f t="shared" si="4"/>
        <v>1.4311111111111112</v>
      </c>
      <c r="AK21">
        <f t="shared" si="5"/>
        <v>23.326666666666668</v>
      </c>
      <c r="AL21">
        <v>3000</v>
      </c>
      <c r="AN21">
        <f t="shared" si="6"/>
        <v>0.99382716049382713</v>
      </c>
      <c r="AO21">
        <f t="shared" si="7"/>
        <v>19.43888888888889</v>
      </c>
      <c r="AP21">
        <v>2500</v>
      </c>
      <c r="AR21">
        <f t="shared" si="8"/>
        <v>0.63604938271604938</v>
      </c>
      <c r="AS21">
        <f t="shared" si="9"/>
        <v>15.551111111111112</v>
      </c>
      <c r="AT21">
        <v>2000</v>
      </c>
    </row>
    <row r="22" spans="1:46" x14ac:dyDescent="0.3">
      <c r="A22" s="5" t="s">
        <v>58</v>
      </c>
      <c r="B22" s="5">
        <v>75</v>
      </c>
      <c r="C22" s="5">
        <v>33</v>
      </c>
      <c r="D22" s="5">
        <v>20</v>
      </c>
      <c r="E22" s="5">
        <v>12.5</v>
      </c>
      <c r="F22" s="5">
        <v>9</v>
      </c>
      <c r="G22" s="5">
        <v>1</v>
      </c>
      <c r="H22" s="5">
        <v>2000</v>
      </c>
      <c r="I22" s="5">
        <v>50</v>
      </c>
      <c r="J22" s="5">
        <v>29</v>
      </c>
      <c r="K22" s="5">
        <v>13.71</v>
      </c>
      <c r="L22" s="5">
        <v>21.65</v>
      </c>
      <c r="M22" s="5">
        <v>-2</v>
      </c>
      <c r="N22" s="5">
        <v>2</v>
      </c>
      <c r="O22" s="5">
        <v>2</v>
      </c>
      <c r="P22" s="5">
        <v>0.8</v>
      </c>
      <c r="Q22" s="5">
        <v>0.06</v>
      </c>
      <c r="R22" s="5">
        <v>0.06</v>
      </c>
      <c r="S22" s="5">
        <v>0.6</v>
      </c>
      <c r="T22" s="5">
        <v>0.3</v>
      </c>
      <c r="U22" s="5">
        <v>66</v>
      </c>
      <c r="V22" s="5">
        <v>10</v>
      </c>
      <c r="X22">
        <v>3.79</v>
      </c>
      <c r="Y22">
        <v>29.93</v>
      </c>
      <c r="Z22">
        <v>4500</v>
      </c>
      <c r="AB22">
        <f t="shared" si="0"/>
        <v>2.9945679012345678</v>
      </c>
      <c r="AC22">
        <f t="shared" si="1"/>
        <v>26.604444444444443</v>
      </c>
      <c r="AD22">
        <v>4000</v>
      </c>
      <c r="AF22">
        <f t="shared" si="2"/>
        <v>2.2927160493827157</v>
      </c>
      <c r="AG22">
        <f t="shared" si="3"/>
        <v>23.27888888888889</v>
      </c>
      <c r="AH22">
        <v>3500</v>
      </c>
      <c r="AJ22">
        <f t="shared" si="4"/>
        <v>1.684444444444444</v>
      </c>
      <c r="AK22">
        <f t="shared" si="5"/>
        <v>19.953333333333333</v>
      </c>
      <c r="AL22">
        <v>3000</v>
      </c>
      <c r="AN22">
        <f t="shared" si="6"/>
        <v>1.169753086419753</v>
      </c>
      <c r="AO22">
        <f t="shared" si="7"/>
        <v>16.627777777777776</v>
      </c>
      <c r="AP22">
        <v>2500</v>
      </c>
      <c r="AR22">
        <f t="shared" si="8"/>
        <v>0.74864197530864174</v>
      </c>
      <c r="AS22">
        <f t="shared" si="9"/>
        <v>13.302222222222222</v>
      </c>
      <c r="AT22">
        <v>2000</v>
      </c>
    </row>
    <row r="23" spans="1:46" x14ac:dyDescent="0.3">
      <c r="A23" s="5" t="s">
        <v>59</v>
      </c>
      <c r="B23" s="5">
        <v>75</v>
      </c>
      <c r="C23" s="5">
        <v>33</v>
      </c>
      <c r="D23" s="5">
        <v>20</v>
      </c>
      <c r="E23" s="5">
        <v>12.5</v>
      </c>
      <c r="F23" s="5">
        <v>7</v>
      </c>
      <c r="G23" s="5">
        <v>1</v>
      </c>
      <c r="H23" s="5">
        <v>4500</v>
      </c>
      <c r="I23" s="5">
        <v>45</v>
      </c>
      <c r="J23" s="5">
        <v>30</v>
      </c>
      <c r="K23" s="5">
        <v>15</v>
      </c>
      <c r="L23" s="5">
        <v>24.2</v>
      </c>
      <c r="M23" s="5">
        <v>-2</v>
      </c>
      <c r="N23" s="5">
        <v>2</v>
      </c>
      <c r="O23" s="5">
        <v>2</v>
      </c>
      <c r="P23" s="5">
        <v>0.8</v>
      </c>
      <c r="Q23" s="5">
        <v>0.06</v>
      </c>
      <c r="R23" s="5">
        <v>0.06</v>
      </c>
      <c r="S23" s="5">
        <v>0.6</v>
      </c>
      <c r="T23" s="5">
        <v>0.3</v>
      </c>
      <c r="U23" s="5">
        <v>40</v>
      </c>
      <c r="V23" s="5">
        <v>10</v>
      </c>
      <c r="X23">
        <v>3.8090000000000002</v>
      </c>
      <c r="Y23">
        <v>19.96</v>
      </c>
      <c r="Z23">
        <v>4500</v>
      </c>
      <c r="AB23">
        <f t="shared" si="0"/>
        <v>3.0095802469135799</v>
      </c>
      <c r="AC23">
        <f t="shared" si="1"/>
        <v>17.742222222222225</v>
      </c>
      <c r="AD23">
        <v>4000</v>
      </c>
      <c r="AF23">
        <f t="shared" si="2"/>
        <v>2.3042098765432097</v>
      </c>
      <c r="AG23">
        <f t="shared" si="3"/>
        <v>15.524444444444446</v>
      </c>
      <c r="AH23">
        <v>3500</v>
      </c>
      <c r="AJ23">
        <f t="shared" si="4"/>
        <v>1.6928888888888891</v>
      </c>
      <c r="AK23">
        <f t="shared" si="5"/>
        <v>13.306666666666668</v>
      </c>
      <c r="AL23">
        <v>3000</v>
      </c>
      <c r="AN23">
        <f t="shared" si="6"/>
        <v>1.1756172839506174</v>
      </c>
      <c r="AO23">
        <f t="shared" si="7"/>
        <v>11.08888888888889</v>
      </c>
      <c r="AP23">
        <v>2500</v>
      </c>
      <c r="AR23">
        <f t="shared" si="8"/>
        <v>0.75239506172839499</v>
      </c>
      <c r="AS23">
        <f t="shared" si="9"/>
        <v>8.8711111111111123</v>
      </c>
      <c r="AT23">
        <v>2000</v>
      </c>
    </row>
    <row r="24" spans="1:46" x14ac:dyDescent="0.3">
      <c r="A24" s="5" t="s">
        <v>60</v>
      </c>
      <c r="B24" s="5">
        <v>75</v>
      </c>
      <c r="C24" s="5">
        <v>33</v>
      </c>
      <c r="D24" s="5">
        <v>20</v>
      </c>
      <c r="E24" s="5">
        <v>12.5</v>
      </c>
      <c r="F24" s="5">
        <v>7</v>
      </c>
      <c r="G24" s="5">
        <v>1</v>
      </c>
      <c r="H24" s="5">
        <v>4000</v>
      </c>
      <c r="I24" s="5">
        <v>45</v>
      </c>
      <c r="J24" s="5">
        <v>30</v>
      </c>
      <c r="K24" s="5">
        <v>15</v>
      </c>
      <c r="L24" s="5">
        <v>24.2</v>
      </c>
      <c r="M24" s="5">
        <v>-2</v>
      </c>
      <c r="N24" s="5">
        <v>2</v>
      </c>
      <c r="O24" s="5">
        <v>2</v>
      </c>
      <c r="P24" s="5">
        <v>0.8</v>
      </c>
      <c r="Q24" s="5">
        <v>0.06</v>
      </c>
      <c r="R24" s="5">
        <v>0.06</v>
      </c>
      <c r="S24" s="5">
        <v>0.6</v>
      </c>
      <c r="T24" s="5">
        <v>0.3</v>
      </c>
      <c r="U24" s="5">
        <v>40</v>
      </c>
      <c r="V24" s="5">
        <v>10</v>
      </c>
      <c r="X24">
        <v>6.5</v>
      </c>
      <c r="Y24">
        <v>0</v>
      </c>
      <c r="Z24">
        <v>4500</v>
      </c>
      <c r="AB24">
        <f t="shared" si="0"/>
        <v>5.1358024691358022</v>
      </c>
      <c r="AC24">
        <f t="shared" si="1"/>
        <v>0</v>
      </c>
      <c r="AD24">
        <v>4000</v>
      </c>
      <c r="AF24">
        <f t="shared" si="2"/>
        <v>3.932098765432098</v>
      </c>
      <c r="AG24">
        <f t="shared" si="3"/>
        <v>0</v>
      </c>
      <c r="AH24">
        <v>3500</v>
      </c>
      <c r="AJ24">
        <f t="shared" si="4"/>
        <v>2.8888888888888884</v>
      </c>
      <c r="AK24">
        <f t="shared" si="5"/>
        <v>0</v>
      </c>
      <c r="AL24">
        <v>3000</v>
      </c>
      <c r="AN24">
        <f t="shared" si="6"/>
        <v>2.0061728395061724</v>
      </c>
      <c r="AO24">
        <f t="shared" si="7"/>
        <v>0</v>
      </c>
      <c r="AP24">
        <v>2500</v>
      </c>
      <c r="AR24">
        <f t="shared" si="8"/>
        <v>1.2839506172839505</v>
      </c>
      <c r="AS24">
        <f t="shared" si="9"/>
        <v>0</v>
      </c>
      <c r="AT24">
        <v>2000</v>
      </c>
    </row>
    <row r="25" spans="1:46" x14ac:dyDescent="0.3">
      <c r="A25" s="5" t="s">
        <v>61</v>
      </c>
      <c r="B25" s="5">
        <v>75</v>
      </c>
      <c r="C25" s="5">
        <v>33</v>
      </c>
      <c r="D25" s="5">
        <v>20</v>
      </c>
      <c r="E25" s="5">
        <v>12.5</v>
      </c>
      <c r="F25" s="5">
        <v>7</v>
      </c>
      <c r="G25" s="5">
        <v>1</v>
      </c>
      <c r="H25" s="5">
        <v>3500</v>
      </c>
      <c r="I25" s="5">
        <v>45</v>
      </c>
      <c r="J25" s="5">
        <v>30</v>
      </c>
      <c r="K25" s="5">
        <v>15</v>
      </c>
      <c r="L25" s="5">
        <v>24.2</v>
      </c>
      <c r="M25" s="5">
        <v>-2</v>
      </c>
      <c r="N25" s="5">
        <v>2</v>
      </c>
      <c r="O25" s="5">
        <v>2</v>
      </c>
      <c r="P25" s="5">
        <v>0.8</v>
      </c>
      <c r="Q25" s="5">
        <v>0.06</v>
      </c>
      <c r="R25" s="5">
        <v>0.06</v>
      </c>
      <c r="S25" s="5">
        <v>0.6</v>
      </c>
      <c r="T25" s="5">
        <v>0.3</v>
      </c>
      <c r="U25" s="5">
        <v>40</v>
      </c>
      <c r="V25" s="5">
        <v>10</v>
      </c>
    </row>
    <row r="26" spans="1:46" x14ac:dyDescent="0.3">
      <c r="A26" s="5" t="s">
        <v>62</v>
      </c>
      <c r="B26" s="5">
        <v>75</v>
      </c>
      <c r="C26" s="5">
        <v>33</v>
      </c>
      <c r="D26" s="5">
        <v>20</v>
      </c>
      <c r="E26" s="5">
        <v>12.5</v>
      </c>
      <c r="F26" s="5">
        <v>7</v>
      </c>
      <c r="G26" s="5">
        <v>1</v>
      </c>
      <c r="H26" s="5">
        <v>3000</v>
      </c>
      <c r="I26" s="5">
        <v>45</v>
      </c>
      <c r="J26" s="5">
        <v>30</v>
      </c>
      <c r="K26" s="5">
        <v>15</v>
      </c>
      <c r="L26" s="5">
        <v>24.2</v>
      </c>
      <c r="M26" s="5">
        <v>-2</v>
      </c>
      <c r="N26" s="5">
        <v>2</v>
      </c>
      <c r="O26" s="5">
        <v>2</v>
      </c>
      <c r="P26" s="5">
        <v>0.8</v>
      </c>
      <c r="Q26" s="5">
        <v>0.06</v>
      </c>
      <c r="R26" s="5">
        <v>0.06</v>
      </c>
      <c r="S26" s="5">
        <v>0.6</v>
      </c>
      <c r="T26" s="5">
        <v>0.3</v>
      </c>
      <c r="U26" s="5">
        <v>40</v>
      </c>
      <c r="V26" s="5">
        <v>10</v>
      </c>
    </row>
    <row r="27" spans="1:46" x14ac:dyDescent="0.3">
      <c r="A27" s="5" t="s">
        <v>63</v>
      </c>
      <c r="B27" s="5">
        <v>75</v>
      </c>
      <c r="C27" s="5">
        <v>33</v>
      </c>
      <c r="D27" s="5">
        <v>20</v>
      </c>
      <c r="E27" s="5">
        <v>12.5</v>
      </c>
      <c r="F27" s="5">
        <v>7</v>
      </c>
      <c r="G27" s="5">
        <v>1</v>
      </c>
      <c r="H27" s="5">
        <v>2500</v>
      </c>
      <c r="I27" s="5">
        <v>45</v>
      </c>
      <c r="J27" s="5">
        <v>30</v>
      </c>
      <c r="K27" s="5">
        <v>15</v>
      </c>
      <c r="L27" s="5">
        <v>24.2</v>
      </c>
      <c r="M27" s="5">
        <v>-2</v>
      </c>
      <c r="N27" s="5">
        <v>2</v>
      </c>
      <c r="O27" s="5">
        <v>2</v>
      </c>
      <c r="P27" s="5">
        <v>0.8</v>
      </c>
      <c r="Q27" s="5">
        <v>0.06</v>
      </c>
      <c r="R27" s="5">
        <v>0.06</v>
      </c>
      <c r="S27" s="5">
        <v>0.6</v>
      </c>
      <c r="T27" s="5">
        <v>0.3</v>
      </c>
      <c r="U27" s="5">
        <v>40</v>
      </c>
      <c r="V27" s="5">
        <v>10</v>
      </c>
      <c r="X27" t="s">
        <v>64</v>
      </c>
      <c r="AB27" t="s">
        <v>64</v>
      </c>
      <c r="AF27" t="s">
        <v>64</v>
      </c>
      <c r="AJ27" t="s">
        <v>64</v>
      </c>
      <c r="AN27" t="s">
        <v>64</v>
      </c>
      <c r="AR27" t="s">
        <v>64</v>
      </c>
    </row>
    <row r="28" spans="1:46" x14ac:dyDescent="0.3">
      <c r="A28" s="5" t="s">
        <v>65</v>
      </c>
      <c r="B28" s="5">
        <v>75</v>
      </c>
      <c r="C28" s="5">
        <v>33</v>
      </c>
      <c r="D28" s="5">
        <v>20</v>
      </c>
      <c r="E28" s="5">
        <v>12.5</v>
      </c>
      <c r="F28" s="5">
        <v>7</v>
      </c>
      <c r="G28" s="5">
        <v>1</v>
      </c>
      <c r="H28" s="5">
        <v>2000</v>
      </c>
      <c r="I28" s="5">
        <v>45</v>
      </c>
      <c r="J28" s="5">
        <v>30</v>
      </c>
      <c r="K28" s="5">
        <v>15</v>
      </c>
      <c r="L28" s="5">
        <v>24.2</v>
      </c>
      <c r="M28" s="5">
        <v>-2</v>
      </c>
      <c r="N28" s="5">
        <v>2</v>
      </c>
      <c r="O28" s="5">
        <v>2</v>
      </c>
      <c r="P28" s="5">
        <v>0.8</v>
      </c>
      <c r="Q28" s="5">
        <v>0.06</v>
      </c>
      <c r="R28" s="5">
        <v>0.06</v>
      </c>
      <c r="S28" s="5">
        <v>0.6</v>
      </c>
      <c r="T28" s="5">
        <v>0.3</v>
      </c>
      <c r="U28" s="5">
        <v>40</v>
      </c>
      <c r="V28" s="5">
        <v>10</v>
      </c>
      <c r="X28">
        <v>0</v>
      </c>
      <c r="Y28">
        <v>46</v>
      </c>
      <c r="Z28">
        <v>4500</v>
      </c>
      <c r="AB28">
        <f t="shared" si="0"/>
        <v>0</v>
      </c>
      <c r="AC28">
        <f t="shared" si="1"/>
        <v>40.888888888888886</v>
      </c>
      <c r="AD28">
        <v>4000</v>
      </c>
      <c r="AF28">
        <f t="shared" si="2"/>
        <v>0</v>
      </c>
      <c r="AG28">
        <f t="shared" si="3"/>
        <v>35.777777777777771</v>
      </c>
      <c r="AH28">
        <v>3500</v>
      </c>
      <c r="AJ28">
        <f t="shared" si="4"/>
        <v>0</v>
      </c>
      <c r="AK28">
        <f t="shared" si="5"/>
        <v>30.666666666666664</v>
      </c>
      <c r="AL28">
        <v>3000</v>
      </c>
      <c r="AN28">
        <f t="shared" si="6"/>
        <v>0</v>
      </c>
      <c r="AO28">
        <f t="shared" si="7"/>
        <v>25.555555555555554</v>
      </c>
      <c r="AP28">
        <v>2500</v>
      </c>
      <c r="AR28">
        <f t="shared" si="8"/>
        <v>0</v>
      </c>
      <c r="AS28">
        <f t="shared" si="9"/>
        <v>20.444444444444443</v>
      </c>
      <c r="AT28">
        <v>2000</v>
      </c>
    </row>
    <row r="29" spans="1:46" x14ac:dyDescent="0.3">
      <c r="A29" s="5" t="s">
        <v>66</v>
      </c>
      <c r="B29" s="5">
        <v>75</v>
      </c>
      <c r="C29" s="5">
        <v>28.88</v>
      </c>
      <c r="D29" s="5">
        <v>20</v>
      </c>
      <c r="E29" s="5">
        <v>12.5</v>
      </c>
      <c r="F29" s="5">
        <v>9</v>
      </c>
      <c r="G29" s="5">
        <v>1</v>
      </c>
      <c r="H29" s="5">
        <v>4500</v>
      </c>
      <c r="I29" s="5">
        <v>50</v>
      </c>
      <c r="J29" s="5">
        <v>29</v>
      </c>
      <c r="K29" s="5">
        <v>15</v>
      </c>
      <c r="L29" s="5">
        <v>18.350000000000001</v>
      </c>
      <c r="M29" s="5">
        <v>-1</v>
      </c>
      <c r="N29" s="5">
        <v>3</v>
      </c>
      <c r="O29" s="5">
        <v>2</v>
      </c>
      <c r="P29" s="5">
        <v>0.8</v>
      </c>
      <c r="Q29" s="5">
        <v>0.06</v>
      </c>
      <c r="R29" s="5">
        <v>0.06</v>
      </c>
      <c r="S29" s="5">
        <v>0.6</v>
      </c>
      <c r="T29" s="5">
        <v>0.3</v>
      </c>
      <c r="U29" s="5">
        <v>66</v>
      </c>
      <c r="V29" s="5">
        <v>10</v>
      </c>
      <c r="X29">
        <v>3.57</v>
      </c>
      <c r="Y29">
        <v>34.89</v>
      </c>
      <c r="Z29">
        <v>4500</v>
      </c>
      <c r="AB29">
        <f t="shared" si="0"/>
        <v>2.8207407407407405</v>
      </c>
      <c r="AC29">
        <f t="shared" si="1"/>
        <v>31.013333333333332</v>
      </c>
      <c r="AD29">
        <v>4000</v>
      </c>
      <c r="AF29">
        <f t="shared" si="2"/>
        <v>2.1596296296296291</v>
      </c>
      <c r="AG29">
        <f t="shared" si="3"/>
        <v>27.136666666666667</v>
      </c>
      <c r="AH29">
        <v>3500</v>
      </c>
      <c r="AJ29">
        <f t="shared" si="4"/>
        <v>1.5866666666666664</v>
      </c>
      <c r="AK29">
        <f t="shared" si="5"/>
        <v>23.259999999999998</v>
      </c>
      <c r="AL29">
        <v>3000</v>
      </c>
      <c r="AN29">
        <f t="shared" si="6"/>
        <v>1.1018518518518519</v>
      </c>
      <c r="AO29">
        <f t="shared" si="7"/>
        <v>19.383333333333333</v>
      </c>
      <c r="AP29">
        <v>2500</v>
      </c>
      <c r="AR29">
        <f t="shared" si="8"/>
        <v>0.70518518518518525</v>
      </c>
      <c r="AS29">
        <f t="shared" si="9"/>
        <v>15.506666666666666</v>
      </c>
      <c r="AT29">
        <v>2000</v>
      </c>
    </row>
    <row r="30" spans="1:46" x14ac:dyDescent="0.3">
      <c r="A30" s="5" t="s">
        <v>67</v>
      </c>
      <c r="B30" s="5">
        <v>75</v>
      </c>
      <c r="C30" s="5">
        <v>28.88</v>
      </c>
      <c r="D30" s="5">
        <v>20</v>
      </c>
      <c r="E30" s="5">
        <v>12.5</v>
      </c>
      <c r="F30" s="5">
        <v>9</v>
      </c>
      <c r="G30" s="5">
        <v>1</v>
      </c>
      <c r="H30" s="5">
        <v>4000</v>
      </c>
      <c r="I30" s="5">
        <v>50</v>
      </c>
      <c r="J30" s="5">
        <v>29</v>
      </c>
      <c r="K30" s="5">
        <v>15</v>
      </c>
      <c r="L30" s="5">
        <v>18.350000000000001</v>
      </c>
      <c r="M30" s="5">
        <v>-1</v>
      </c>
      <c r="N30" s="5">
        <v>3</v>
      </c>
      <c r="O30" s="5">
        <v>2</v>
      </c>
      <c r="P30" s="5">
        <v>0.8</v>
      </c>
      <c r="Q30" s="5">
        <v>0.06</v>
      </c>
      <c r="R30" s="5">
        <v>0.06</v>
      </c>
      <c r="S30" s="5">
        <v>0.6</v>
      </c>
      <c r="T30" s="5">
        <v>0.3</v>
      </c>
      <c r="U30" s="5">
        <v>66</v>
      </c>
      <c r="V30" s="5">
        <v>10</v>
      </c>
      <c r="X30">
        <v>4.327</v>
      </c>
      <c r="Y30">
        <v>29.94</v>
      </c>
      <c r="Z30">
        <v>4500</v>
      </c>
      <c r="AB30">
        <f t="shared" si="0"/>
        <v>3.4188641975308638</v>
      </c>
      <c r="AC30">
        <f t="shared" si="1"/>
        <v>26.613333333333333</v>
      </c>
      <c r="AD30">
        <v>4000</v>
      </c>
      <c r="AF30">
        <f t="shared" si="2"/>
        <v>2.6175679012345676</v>
      </c>
      <c r="AG30">
        <f t="shared" si="3"/>
        <v>23.286666666666665</v>
      </c>
      <c r="AH30">
        <v>3500</v>
      </c>
      <c r="AJ30">
        <f t="shared" si="4"/>
        <v>1.9231111111111108</v>
      </c>
      <c r="AK30">
        <f t="shared" si="5"/>
        <v>19.96</v>
      </c>
      <c r="AL30">
        <v>3000</v>
      </c>
      <c r="AN30">
        <f t="shared" si="6"/>
        <v>1.3354938271604937</v>
      </c>
      <c r="AO30">
        <f t="shared" si="7"/>
        <v>16.633333333333333</v>
      </c>
      <c r="AP30">
        <v>2500</v>
      </c>
      <c r="AR30">
        <f t="shared" si="8"/>
        <v>0.85471604938271595</v>
      </c>
      <c r="AS30">
        <f t="shared" si="9"/>
        <v>13.306666666666667</v>
      </c>
      <c r="AT30">
        <v>2000</v>
      </c>
    </row>
    <row r="31" spans="1:46" x14ac:dyDescent="0.3">
      <c r="A31" s="5" t="s">
        <v>68</v>
      </c>
      <c r="B31" s="5">
        <v>75</v>
      </c>
      <c r="C31" s="5">
        <v>28.88</v>
      </c>
      <c r="D31" s="5">
        <v>20</v>
      </c>
      <c r="E31" s="5">
        <v>12.5</v>
      </c>
      <c r="F31" s="5">
        <v>9</v>
      </c>
      <c r="G31" s="5">
        <v>1</v>
      </c>
      <c r="H31" s="5">
        <v>3500</v>
      </c>
      <c r="I31" s="5">
        <v>50</v>
      </c>
      <c r="J31" s="5">
        <v>29</v>
      </c>
      <c r="K31" s="5">
        <v>15</v>
      </c>
      <c r="L31" s="5">
        <v>18.350000000000001</v>
      </c>
      <c r="M31" s="5">
        <v>-1</v>
      </c>
      <c r="N31" s="5">
        <v>3</v>
      </c>
      <c r="O31" s="5">
        <v>2</v>
      </c>
      <c r="P31" s="5">
        <v>0.8</v>
      </c>
      <c r="Q31" s="5">
        <v>0.06</v>
      </c>
      <c r="R31" s="5">
        <v>0.06</v>
      </c>
      <c r="S31" s="5">
        <v>0.6</v>
      </c>
      <c r="T31" s="5">
        <v>0.3</v>
      </c>
      <c r="U31" s="5">
        <v>66</v>
      </c>
      <c r="V31" s="5">
        <v>10</v>
      </c>
      <c r="X31">
        <v>4.3040000000000003</v>
      </c>
      <c r="Y31">
        <v>19.989999999999998</v>
      </c>
      <c r="Z31">
        <v>4500</v>
      </c>
      <c r="AB31">
        <f t="shared" si="0"/>
        <v>3.4006913580246909</v>
      </c>
      <c r="AC31">
        <f t="shared" si="1"/>
        <v>17.768888888888888</v>
      </c>
      <c r="AD31">
        <v>4000</v>
      </c>
      <c r="AF31">
        <f t="shared" si="2"/>
        <v>2.6036543209876544</v>
      </c>
      <c r="AG31">
        <f t="shared" si="3"/>
        <v>15.547777777777776</v>
      </c>
      <c r="AH31">
        <v>3500</v>
      </c>
      <c r="AJ31">
        <f t="shared" si="4"/>
        <v>1.9128888888888889</v>
      </c>
      <c r="AK31">
        <f t="shared" si="5"/>
        <v>13.326666666666666</v>
      </c>
      <c r="AL31">
        <v>3000</v>
      </c>
      <c r="AN31">
        <f t="shared" si="6"/>
        <v>1.3283950617283951</v>
      </c>
      <c r="AO31">
        <f t="shared" si="7"/>
        <v>11.105555555555554</v>
      </c>
      <c r="AP31">
        <v>2500</v>
      </c>
      <c r="AR31">
        <f t="shared" si="8"/>
        <v>0.85017283950617273</v>
      </c>
      <c r="AS31">
        <f t="shared" si="9"/>
        <v>8.8844444444444441</v>
      </c>
      <c r="AT31">
        <v>2000</v>
      </c>
    </row>
    <row r="32" spans="1:46" x14ac:dyDescent="0.3">
      <c r="A32" s="5" t="s">
        <v>69</v>
      </c>
      <c r="B32" s="5">
        <v>75</v>
      </c>
      <c r="C32" s="5">
        <v>28.88</v>
      </c>
      <c r="D32" s="5">
        <v>20</v>
      </c>
      <c r="E32" s="5">
        <v>12.5</v>
      </c>
      <c r="F32" s="5">
        <v>9</v>
      </c>
      <c r="G32" s="5">
        <v>1</v>
      </c>
      <c r="H32" s="5">
        <v>3000</v>
      </c>
      <c r="I32" s="5">
        <v>50</v>
      </c>
      <c r="J32" s="5">
        <v>29</v>
      </c>
      <c r="K32" s="5">
        <v>15</v>
      </c>
      <c r="L32" s="5">
        <v>18.350000000000001</v>
      </c>
      <c r="M32" s="5">
        <v>-1</v>
      </c>
      <c r="N32" s="5">
        <v>3</v>
      </c>
      <c r="O32" s="5">
        <v>2</v>
      </c>
      <c r="P32" s="5">
        <v>0.8</v>
      </c>
      <c r="Q32" s="5">
        <v>0.06</v>
      </c>
      <c r="R32" s="5">
        <v>0.06</v>
      </c>
      <c r="S32" s="5">
        <v>0.6</v>
      </c>
      <c r="T32" s="5">
        <v>0.3</v>
      </c>
      <c r="U32" s="5">
        <v>66</v>
      </c>
      <c r="V32" s="5">
        <v>10</v>
      </c>
      <c r="X32">
        <v>7.84</v>
      </c>
      <c r="Y32">
        <v>0</v>
      </c>
      <c r="Z32">
        <v>4500</v>
      </c>
      <c r="AB32">
        <f t="shared" si="0"/>
        <v>6.194567901234568</v>
      </c>
      <c r="AC32">
        <f t="shared" si="1"/>
        <v>0</v>
      </c>
      <c r="AD32">
        <v>4000</v>
      </c>
      <c r="AF32">
        <f t="shared" si="2"/>
        <v>4.7427160493827163</v>
      </c>
      <c r="AG32">
        <f t="shared" si="3"/>
        <v>0</v>
      </c>
      <c r="AH32">
        <v>3500</v>
      </c>
      <c r="AJ32">
        <f t="shared" si="4"/>
        <v>3.4844444444444442</v>
      </c>
      <c r="AK32">
        <f t="shared" si="5"/>
        <v>0</v>
      </c>
      <c r="AL32">
        <v>3000</v>
      </c>
      <c r="AN32">
        <f t="shared" si="6"/>
        <v>2.4197530864197532</v>
      </c>
      <c r="AO32">
        <f t="shared" si="7"/>
        <v>0</v>
      </c>
      <c r="AP32">
        <v>2500</v>
      </c>
      <c r="AR32">
        <f t="shared" si="8"/>
        <v>1.5486419753086422</v>
      </c>
      <c r="AS32">
        <f t="shared" si="9"/>
        <v>0</v>
      </c>
      <c r="AT32">
        <v>2000</v>
      </c>
    </row>
    <row r="33" spans="1:46" x14ac:dyDescent="0.3">
      <c r="A33" s="5" t="s">
        <v>70</v>
      </c>
      <c r="B33" s="5">
        <v>75</v>
      </c>
      <c r="C33" s="5">
        <v>28.88</v>
      </c>
      <c r="D33" s="5">
        <v>20</v>
      </c>
      <c r="E33" s="5">
        <v>12.5</v>
      </c>
      <c r="F33" s="5">
        <v>9</v>
      </c>
      <c r="G33" s="5">
        <v>1</v>
      </c>
      <c r="H33" s="5">
        <v>2500</v>
      </c>
      <c r="I33" s="5">
        <v>50</v>
      </c>
      <c r="J33" s="5">
        <v>29</v>
      </c>
      <c r="K33" s="5">
        <v>15</v>
      </c>
      <c r="L33" s="5">
        <v>18.350000000000001</v>
      </c>
      <c r="M33" s="5">
        <v>-1</v>
      </c>
      <c r="N33" s="5">
        <v>3</v>
      </c>
      <c r="O33" s="5">
        <v>2</v>
      </c>
      <c r="P33" s="5">
        <v>0.8</v>
      </c>
      <c r="Q33" s="5">
        <v>0.06</v>
      </c>
      <c r="R33" s="5">
        <v>0.06</v>
      </c>
      <c r="S33" s="5">
        <v>0.6</v>
      </c>
      <c r="T33" s="5">
        <v>0.3</v>
      </c>
      <c r="U33" s="5">
        <v>66</v>
      </c>
      <c r="V33" s="5">
        <v>10</v>
      </c>
    </row>
    <row r="34" spans="1:46" x14ac:dyDescent="0.3">
      <c r="A34" s="5" t="s">
        <v>71</v>
      </c>
      <c r="B34" s="5">
        <v>75</v>
      </c>
      <c r="C34" s="5">
        <v>28.88</v>
      </c>
      <c r="D34" s="5">
        <v>20</v>
      </c>
      <c r="E34" s="5">
        <v>12.5</v>
      </c>
      <c r="F34" s="5">
        <v>9</v>
      </c>
      <c r="G34" s="5">
        <v>1</v>
      </c>
      <c r="H34" s="5">
        <v>2000</v>
      </c>
      <c r="I34" s="5">
        <v>50</v>
      </c>
      <c r="J34" s="5">
        <v>29</v>
      </c>
      <c r="K34" s="5">
        <v>15</v>
      </c>
      <c r="L34" s="5">
        <v>18.350000000000001</v>
      </c>
      <c r="M34" s="5">
        <v>-1</v>
      </c>
      <c r="N34" s="5">
        <v>3</v>
      </c>
      <c r="O34" s="5">
        <v>2</v>
      </c>
      <c r="P34" s="5">
        <v>0.8</v>
      </c>
      <c r="Q34" s="5">
        <v>0.06</v>
      </c>
      <c r="R34" s="5">
        <v>0.06</v>
      </c>
      <c r="S34" s="5">
        <v>0.6</v>
      </c>
      <c r="T34" s="5">
        <v>0.3</v>
      </c>
      <c r="U34" s="5">
        <v>66</v>
      </c>
      <c r="V34" s="5">
        <v>10</v>
      </c>
    </row>
    <row r="35" spans="1:46" x14ac:dyDescent="0.3">
      <c r="X35" t="s">
        <v>72</v>
      </c>
      <c r="AB35" t="s">
        <v>72</v>
      </c>
      <c r="AF35" t="s">
        <v>72</v>
      </c>
      <c r="AJ35" t="s">
        <v>72</v>
      </c>
      <c r="AN35" t="s">
        <v>72</v>
      </c>
      <c r="AR35" t="s">
        <v>72</v>
      </c>
    </row>
    <row r="36" spans="1:46" x14ac:dyDescent="0.3">
      <c r="X36">
        <v>5.8</v>
      </c>
      <c r="Y36">
        <v>0</v>
      </c>
      <c r="Z36">
        <v>4500</v>
      </c>
      <c r="AB36">
        <f t="shared" si="0"/>
        <v>4.5827160493827162</v>
      </c>
      <c r="AC36">
        <f t="shared" si="1"/>
        <v>0</v>
      </c>
      <c r="AD36">
        <v>4000</v>
      </c>
      <c r="AF36">
        <f t="shared" si="2"/>
        <v>3.5086419753086426</v>
      </c>
      <c r="AG36">
        <f t="shared" si="3"/>
        <v>0</v>
      </c>
      <c r="AH36">
        <v>3500</v>
      </c>
      <c r="AJ36">
        <f t="shared" si="4"/>
        <v>2.5777777777777779</v>
      </c>
      <c r="AK36">
        <f t="shared" si="5"/>
        <v>0</v>
      </c>
      <c r="AL36">
        <v>3000</v>
      </c>
      <c r="AN36">
        <f t="shared" si="6"/>
        <v>1.7901234567901234</v>
      </c>
      <c r="AO36">
        <f t="shared" si="7"/>
        <v>0</v>
      </c>
      <c r="AP36">
        <v>2500</v>
      </c>
      <c r="AR36">
        <f t="shared" si="8"/>
        <v>1.145679012345679</v>
      </c>
      <c r="AS36">
        <f t="shared" si="9"/>
        <v>0</v>
      </c>
      <c r="AT36">
        <v>2000</v>
      </c>
    </row>
    <row r="37" spans="1:46" x14ac:dyDescent="0.3">
      <c r="X37">
        <v>3.2484023758163159</v>
      </c>
      <c r="Y37">
        <v>27.612336060301487</v>
      </c>
      <c r="Z37">
        <v>4500</v>
      </c>
      <c r="AB37">
        <f t="shared" si="0"/>
        <v>2.5666389142252379</v>
      </c>
      <c r="AC37">
        <f t="shared" si="1"/>
        <v>24.544298720267989</v>
      </c>
      <c r="AD37">
        <v>4000</v>
      </c>
      <c r="AF37">
        <f t="shared" si="2"/>
        <v>1.9650829187036978</v>
      </c>
      <c r="AG37">
        <f t="shared" si="3"/>
        <v>21.47626138023449</v>
      </c>
      <c r="AH37">
        <v>3500</v>
      </c>
      <c r="AJ37">
        <f t="shared" si="4"/>
        <v>1.4437343892516963</v>
      </c>
      <c r="AK37">
        <f t="shared" si="5"/>
        <v>18.408224040200992</v>
      </c>
      <c r="AL37">
        <v>3000</v>
      </c>
      <c r="AN37">
        <f t="shared" si="6"/>
        <v>1.0025933258692337</v>
      </c>
      <c r="AO37">
        <f t="shared" si="7"/>
        <v>15.340186700167493</v>
      </c>
      <c r="AP37">
        <v>2500</v>
      </c>
      <c r="AR37">
        <f t="shared" si="8"/>
        <v>0.64165972855630959</v>
      </c>
      <c r="AS37">
        <f t="shared" si="9"/>
        <v>12.272149360133994</v>
      </c>
      <c r="AT37">
        <v>2000</v>
      </c>
    </row>
    <row r="38" spans="1:46" x14ac:dyDescent="0.3">
      <c r="X38">
        <v>3.340917153401044</v>
      </c>
      <c r="Y38">
        <v>33.268888773357702</v>
      </c>
      <c r="Z38">
        <v>4500</v>
      </c>
      <c r="AB38">
        <f t="shared" si="0"/>
        <v>2.639737010094652</v>
      </c>
      <c r="AC38">
        <f t="shared" si="1"/>
        <v>29.572345576317957</v>
      </c>
      <c r="AD38">
        <v>4000</v>
      </c>
      <c r="AF38">
        <f t="shared" si="2"/>
        <v>2.0210486483537182</v>
      </c>
      <c r="AG38">
        <f t="shared" si="3"/>
        <v>25.875802379278213</v>
      </c>
      <c r="AH38">
        <v>3500</v>
      </c>
      <c r="AJ38">
        <f t="shared" si="4"/>
        <v>1.4848520681782422</v>
      </c>
      <c r="AK38">
        <f t="shared" si="5"/>
        <v>22.179259182238468</v>
      </c>
      <c r="AL38">
        <v>3000</v>
      </c>
      <c r="AN38">
        <f t="shared" si="6"/>
        <v>1.0311472695682236</v>
      </c>
      <c r="AO38">
        <f t="shared" si="7"/>
        <v>18.482715985198723</v>
      </c>
      <c r="AP38">
        <v>2500</v>
      </c>
      <c r="AR38">
        <f t="shared" si="8"/>
        <v>0.65993425252366311</v>
      </c>
      <c r="AS38">
        <f t="shared" si="9"/>
        <v>14.786172788158979</v>
      </c>
      <c r="AT38">
        <v>2000</v>
      </c>
    </row>
    <row r="39" spans="1:46" x14ac:dyDescent="0.3">
      <c r="X39">
        <v>2.866296256190739</v>
      </c>
      <c r="Y39">
        <v>40.344192928598076</v>
      </c>
      <c r="Z39">
        <v>4500</v>
      </c>
      <c r="AB39">
        <f t="shared" si="0"/>
        <v>2.2647279061260157</v>
      </c>
      <c r="AC39">
        <f t="shared" si="1"/>
        <v>35.861504825420511</v>
      </c>
      <c r="AD39">
        <v>4000</v>
      </c>
      <c r="AF39">
        <f t="shared" si="2"/>
        <v>1.7339323031277307</v>
      </c>
      <c r="AG39">
        <f t="shared" si="3"/>
        <v>31.378816722242949</v>
      </c>
      <c r="AH39">
        <v>3500</v>
      </c>
      <c r="AJ39">
        <f t="shared" si="4"/>
        <v>1.2739094471958836</v>
      </c>
      <c r="AK39">
        <f t="shared" si="5"/>
        <v>26.896128619065383</v>
      </c>
      <c r="AL39">
        <v>3000</v>
      </c>
      <c r="AN39">
        <f t="shared" si="6"/>
        <v>0.88465933833047472</v>
      </c>
      <c r="AO39">
        <f t="shared" si="7"/>
        <v>22.413440515887821</v>
      </c>
      <c r="AP39">
        <v>2500</v>
      </c>
      <c r="AR39">
        <f t="shared" si="8"/>
        <v>0.56618197653150382</v>
      </c>
      <c r="AS39">
        <f t="shared" si="9"/>
        <v>17.930752412710255</v>
      </c>
      <c r="AT39">
        <v>2000</v>
      </c>
    </row>
    <row r="40" spans="1:46" x14ac:dyDescent="0.3">
      <c r="X40">
        <v>0</v>
      </c>
      <c r="Y40">
        <v>52.596958134179758</v>
      </c>
      <c r="Z40">
        <v>4500</v>
      </c>
      <c r="AB40">
        <f t="shared" si="0"/>
        <v>0</v>
      </c>
      <c r="AC40">
        <f t="shared" si="1"/>
        <v>46.752851674826452</v>
      </c>
      <c r="AD40">
        <v>4000</v>
      </c>
      <c r="AF40">
        <f t="shared" si="2"/>
        <v>0</v>
      </c>
      <c r="AG40">
        <f t="shared" si="3"/>
        <v>40.908745215473147</v>
      </c>
      <c r="AH40">
        <v>3500</v>
      </c>
      <c r="AJ40">
        <f t="shared" si="4"/>
        <v>0</v>
      </c>
      <c r="AK40">
        <f t="shared" si="5"/>
        <v>35.064638756119841</v>
      </c>
      <c r="AL40">
        <v>3000</v>
      </c>
      <c r="AN40">
        <f t="shared" si="6"/>
        <v>0</v>
      </c>
      <c r="AO40">
        <f t="shared" si="7"/>
        <v>29.220532296766532</v>
      </c>
      <c r="AP40">
        <v>2500</v>
      </c>
      <c r="AR40">
        <f t="shared" si="8"/>
        <v>0</v>
      </c>
      <c r="AS40">
        <f t="shared" si="9"/>
        <v>23.376425837413226</v>
      </c>
      <c r="AT40">
        <v>2000</v>
      </c>
    </row>
  </sheetData>
  <autoFilter ref="A2:V2" xr:uid="{700E72AA-196F-48A5-A466-CDD7DD31F025}"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all_category_5point_data</vt:lpstr>
      <vt:lpstr>A8020</vt:lpstr>
      <vt:lpstr>A8020(原始)</vt:lpstr>
    </vt:vector>
  </TitlesOfParts>
  <Company>Delta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RYAN.CHUANG 莊景皓</dc:creator>
  <cp:lastModifiedBy>RYAN.CHUANG 莊景皓</cp:lastModifiedBy>
  <dcterms:created xsi:type="dcterms:W3CDTF">2025-11-19T03:06:37Z</dcterms:created>
  <dcterms:modified xsi:type="dcterms:W3CDTF">2026-04-08T11:50:14Z</dcterms:modified>
</cp:coreProperties>
</file>